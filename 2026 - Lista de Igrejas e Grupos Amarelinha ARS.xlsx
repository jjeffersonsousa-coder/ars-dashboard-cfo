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marcelo_silva_adventistas_org/Documents/Documentos/LISTAS 2025/"/>
    </mc:Choice>
  </mc:AlternateContent>
  <xr:revisionPtr revIDLastSave="1862" documentId="8_{136F9061-E020-4A88-93D0-5C67C35AE7BC}" xr6:coauthVersionLast="47" xr6:coauthVersionMax="47" xr10:uidLastSave="{26FAD87F-3A36-43BC-9F27-1790F9725B27}"/>
  <bookViews>
    <workbookView xWindow="-120" yWindow="-120" windowWidth="29040" windowHeight="15840" xr2:uid="{44A7457E-F752-43C7-8D37-C6B413138852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8" i="1" l="1"/>
  <c r="D388" i="1"/>
  <c r="E185" i="1"/>
  <c r="B143" i="1"/>
  <c r="B90" i="1"/>
  <c r="B52" i="1"/>
  <c r="B359" i="1"/>
  <c r="B311" i="1"/>
  <c r="F388" i="1"/>
  <c r="B114" i="1"/>
  <c r="B285" i="1"/>
  <c r="B335" i="1"/>
  <c r="B352" i="1"/>
  <c r="B109" i="1"/>
  <c r="B98" i="1"/>
  <c r="B71" i="1"/>
  <c r="B371" i="1"/>
  <c r="D375" i="1"/>
  <c r="C388" i="1"/>
  <c r="D366" i="1"/>
  <c r="D343" i="1"/>
  <c r="B329" i="1"/>
  <c r="B324" i="1"/>
  <c r="B319" i="1"/>
  <c r="D304" i="1"/>
  <c r="B299" i="1"/>
  <c r="B294" i="1"/>
  <c r="B289" i="1"/>
  <c r="B280" i="1"/>
  <c r="B276" i="1"/>
  <c r="D269" i="1"/>
  <c r="B265" i="1"/>
  <c r="B261" i="1"/>
  <c r="B256" i="1"/>
  <c r="B252" i="1"/>
  <c r="B248" i="1"/>
  <c r="D240" i="1"/>
  <c r="B234" i="1"/>
  <c r="B228" i="1"/>
  <c r="B222" i="1"/>
  <c r="B217" i="1"/>
  <c r="B209" i="1"/>
  <c r="B204" i="1"/>
  <c r="B197" i="1"/>
  <c r="D188" i="1"/>
  <c r="B183" i="1"/>
  <c r="B177" i="1"/>
  <c r="B171" i="1"/>
  <c r="B164" i="1"/>
  <c r="B158" i="1"/>
  <c r="B151" i="1"/>
  <c r="B136" i="1"/>
  <c r="B129" i="1"/>
  <c r="D121" i="1"/>
  <c r="B81" i="1"/>
  <c r="B65" i="1"/>
  <c r="D57" i="1"/>
  <c r="B48" i="1"/>
  <c r="B45" i="1"/>
  <c r="B38" i="1"/>
  <c r="B31" i="1"/>
  <c r="B26" i="1"/>
  <c r="B20" i="1"/>
  <c r="B12" i="1"/>
</calcChain>
</file>

<file path=xl/sharedStrings.xml><?xml version="1.0" encoding="utf-8"?>
<sst xmlns="http://schemas.openxmlformats.org/spreadsheetml/2006/main" count="790" uniqueCount="398">
  <si>
    <t>Associação Rio Sul da IASD</t>
  </si>
  <si>
    <t>Secretaria de Igrejas</t>
  </si>
  <si>
    <t>Listagem de Igrejas por Distrito</t>
  </si>
  <si>
    <t>1ª Região - Zona Oeste (Central)</t>
  </si>
  <si>
    <t>Nome da Igreja</t>
  </si>
  <si>
    <t>Tipo</t>
  </si>
  <si>
    <t>Nº de Membros</t>
  </si>
  <si>
    <t>Afonso de Carvalho</t>
  </si>
  <si>
    <t>Igreja</t>
  </si>
  <si>
    <t>Bangu</t>
  </si>
  <si>
    <t>João Luiz Trentino Cordeiro</t>
  </si>
  <si>
    <t>Jardim Agua Branca</t>
  </si>
  <si>
    <t>Jardim Bangu</t>
  </si>
  <si>
    <t>Nova Alianca</t>
  </si>
  <si>
    <t>Piquirobi</t>
  </si>
  <si>
    <t>Sarapuí</t>
  </si>
  <si>
    <t>Bel Clima</t>
  </si>
  <si>
    <t>Carapiá</t>
  </si>
  <si>
    <t>Jardim Maravilha</t>
  </si>
  <si>
    <t>Josias Pereira Falcão</t>
  </si>
  <si>
    <t>Magarça</t>
  </si>
  <si>
    <t>Maravilha II</t>
  </si>
  <si>
    <t>Grupo</t>
  </si>
  <si>
    <t>Novo Maravilha</t>
  </si>
  <si>
    <t>Santa Clara</t>
  </si>
  <si>
    <t>Campo Grande</t>
  </si>
  <si>
    <t>Luiz Otávio de Vasconcelos Machado</t>
  </si>
  <si>
    <t>Pina Rangel</t>
  </si>
  <si>
    <t>Conjunto Campinho</t>
  </si>
  <si>
    <t>Cosmos</t>
  </si>
  <si>
    <t>Inhoaiba</t>
  </si>
  <si>
    <t xml:space="preserve">Fábio Gonçalves da Silva </t>
  </si>
  <si>
    <t>Parque Canaã</t>
  </si>
  <si>
    <t>Santa Helena</t>
  </si>
  <si>
    <t>Santa Margarida</t>
  </si>
  <si>
    <t>Saquaçu</t>
  </si>
  <si>
    <t>Vilar Carioca</t>
  </si>
  <si>
    <t>Ipatinga</t>
  </si>
  <si>
    <t>Jardim Paulista</t>
  </si>
  <si>
    <t>Jardim Letícia</t>
  </si>
  <si>
    <t>Odair de Almeida</t>
  </si>
  <si>
    <t>Mendanha</t>
  </si>
  <si>
    <t>Santa Rosa</t>
  </si>
  <si>
    <t>São Geraldo</t>
  </si>
  <si>
    <t>São Victor</t>
  </si>
  <si>
    <t>Augusto Vasconcelos</t>
  </si>
  <si>
    <r>
      <rPr>
        <b/>
        <sz val="20"/>
        <color rgb="FF000000"/>
        <rFont val="Arial Narrow"/>
        <family val="2"/>
      </rPr>
      <t>Moinho</t>
    </r>
    <r>
      <rPr>
        <sz val="20"/>
        <color indexed="8"/>
        <rFont val="Arial Narrow"/>
        <family val="2"/>
      </rPr>
      <t xml:space="preserve"> </t>
    </r>
  </si>
  <si>
    <t>Moinho</t>
  </si>
  <si>
    <t>Rio da Prata</t>
  </si>
  <si>
    <t>Santa Rita</t>
  </si>
  <si>
    <t>Padre Miguel</t>
  </si>
  <si>
    <t>Água Branca</t>
  </si>
  <si>
    <t>Jean Jaques Ross</t>
  </si>
  <si>
    <t>Jardim Belcaire</t>
  </si>
  <si>
    <t>Moça Bonita</t>
  </si>
  <si>
    <t>Fechou</t>
  </si>
  <si>
    <t>Santíssimo</t>
  </si>
  <si>
    <t>Marcelo Ferreira de Souza</t>
  </si>
  <si>
    <t>Santissimo</t>
  </si>
  <si>
    <t>Senador Camará</t>
  </si>
  <si>
    <t>Viegas</t>
  </si>
  <si>
    <t>Vila Kennedy</t>
  </si>
  <si>
    <t>Total da 1ª Região:</t>
  </si>
  <si>
    <t>Igrejas</t>
  </si>
  <si>
    <t>Grupos</t>
  </si>
  <si>
    <t xml:space="preserve">Membros               </t>
  </si>
  <si>
    <t xml:space="preserve">2ª Região - Zona Oeste (Itaguaí) </t>
  </si>
  <si>
    <t>Amendoeira</t>
  </si>
  <si>
    <t>Bairro do Engenho</t>
  </si>
  <si>
    <t>Itaguaí</t>
  </si>
  <si>
    <t>Chaperó</t>
  </si>
  <si>
    <t>André Luiz de Souza Neves</t>
  </si>
  <si>
    <t>Jardim América</t>
  </si>
  <si>
    <t>Santa Cândida</t>
  </si>
  <si>
    <t>Teixeira</t>
  </si>
  <si>
    <t>Cesarão</t>
  </si>
  <si>
    <t>Paciência</t>
  </si>
  <si>
    <t>Fazenda Nacional</t>
  </si>
  <si>
    <t>Jardim Sete de Abril</t>
  </si>
  <si>
    <t>Nova Jersey</t>
  </si>
  <si>
    <t>Paçuaré</t>
  </si>
  <si>
    <t>Três Pontes</t>
  </si>
  <si>
    <t>Arão</t>
  </si>
  <si>
    <t>Areia Branca</t>
  </si>
  <si>
    <t>Brisa</t>
  </si>
  <si>
    <t>Cinco Marias</t>
  </si>
  <si>
    <t xml:space="preserve">Pedra de Guaratiba </t>
  </si>
  <si>
    <t>Jardim Guaratiba</t>
  </si>
  <si>
    <t>Nova Sepetiba</t>
  </si>
  <si>
    <t>Nova Vista</t>
  </si>
  <si>
    <t>Pedra de Guaratiba</t>
  </si>
  <si>
    <t>Sepetiba</t>
  </si>
  <si>
    <t>Vila Mar</t>
  </si>
  <si>
    <t>Vitória Regia</t>
  </si>
  <si>
    <t>Km. 39</t>
  </si>
  <si>
    <t>Limoeiro</t>
  </si>
  <si>
    <t>Prados Verdes</t>
  </si>
  <si>
    <t>Parque São Carlos</t>
  </si>
  <si>
    <t xml:space="preserve">Luciano Mendonça de Siqueira </t>
  </si>
  <si>
    <t>Parque São Francisco</t>
  </si>
  <si>
    <t>Vila Belga</t>
  </si>
  <si>
    <t>Alvorada</t>
  </si>
  <si>
    <t>Cajueiro</t>
  </si>
  <si>
    <t>Império</t>
  </si>
  <si>
    <t>Jardim Palmares</t>
  </si>
  <si>
    <t>Santa Cruz</t>
  </si>
  <si>
    <t>Jesuitas</t>
  </si>
  <si>
    <t>Lote 14</t>
  </si>
  <si>
    <t>Macapá</t>
  </si>
  <si>
    <t>Manguariba</t>
  </si>
  <si>
    <t>São Fernando</t>
  </si>
  <si>
    <t>Brisamar</t>
  </si>
  <si>
    <t>Costa Verde</t>
  </si>
  <si>
    <t>Fazenda Conceição</t>
  </si>
  <si>
    <t>Sase</t>
  </si>
  <si>
    <t>Jardim Mar</t>
  </si>
  <si>
    <t>Fernando de Jesus Almeida</t>
  </si>
  <si>
    <t>Mangaratiba</t>
  </si>
  <si>
    <t>Muriqui</t>
  </si>
  <si>
    <t>Raiz da Serra</t>
  </si>
  <si>
    <t>Seropédica</t>
  </si>
  <si>
    <t>Jardim das Acacias</t>
  </si>
  <si>
    <t>Lucas Thiengo Barbosa</t>
  </si>
  <si>
    <t>Parque Jacimar</t>
  </si>
  <si>
    <t>Piranema</t>
  </si>
  <si>
    <t>São Miguel</t>
  </si>
  <si>
    <t>Total da 2ª Região:</t>
  </si>
  <si>
    <t>Membros</t>
  </si>
  <si>
    <t>3ª Região - Baixada Fluminense (Iguaçuana)</t>
  </si>
  <si>
    <t>Austin</t>
  </si>
  <si>
    <t>Inconfidência</t>
  </si>
  <si>
    <t>Mariléia</t>
  </si>
  <si>
    <t>Parque Suécia</t>
  </si>
  <si>
    <t>Três Fontes</t>
  </si>
  <si>
    <t>Vila Zenith</t>
  </si>
  <si>
    <t>Comendador Soares</t>
  </si>
  <si>
    <t>Faculdade</t>
  </si>
  <si>
    <t>Jardim Alvorada</t>
  </si>
  <si>
    <t>Jardim Cabuçu</t>
  </si>
  <si>
    <t>Fabio Roberto da Silva</t>
  </si>
  <si>
    <t>Jardim Laranjeiras</t>
  </si>
  <si>
    <t>Mangueira</t>
  </si>
  <si>
    <t>Parque das Palmeiras</t>
  </si>
  <si>
    <t>Três Marias</t>
  </si>
  <si>
    <t>Citrópolis</t>
  </si>
  <si>
    <t>Engenheiro Pedreira</t>
  </si>
  <si>
    <t>Japeri (Nova Belém)</t>
  </si>
  <si>
    <t>Lage de Paracambi</t>
  </si>
  <si>
    <t>Parque Guandu</t>
  </si>
  <si>
    <t xml:space="preserve">Santa Inês </t>
  </si>
  <si>
    <t xml:space="preserve">São Jorge </t>
  </si>
  <si>
    <t>São Luiz Gonzaga</t>
  </si>
  <si>
    <t>Andrade Araujo</t>
  </si>
  <si>
    <t>Engenho Pequeno</t>
  </si>
  <si>
    <t>Jardim da Prata</t>
  </si>
  <si>
    <t>Itaipú</t>
  </si>
  <si>
    <t>Palmerinha</t>
  </si>
  <si>
    <t>Santo Elias</t>
  </si>
  <si>
    <t>Shan-Gri-LÁ</t>
  </si>
  <si>
    <t>Ambaí</t>
  </si>
  <si>
    <t>Boa Esperanca</t>
  </si>
  <si>
    <t>Miguel Couto</t>
  </si>
  <si>
    <t>Figueira</t>
  </si>
  <si>
    <t>Wilton Mendes Carneiro da Silva</t>
  </si>
  <si>
    <t>Geneciano</t>
  </si>
  <si>
    <t>Parque Estoril</t>
  </si>
  <si>
    <t>Vila de Cava</t>
  </si>
  <si>
    <t>Bairro Metropolitano</t>
  </si>
  <si>
    <t>Nova Iguaçu</t>
  </si>
  <si>
    <t>Caiçara</t>
  </si>
  <si>
    <t>Osias Azevedo de  Melo</t>
  </si>
  <si>
    <t>Califórnia</t>
  </si>
  <si>
    <t>Jardim Santa Eugenia</t>
  </si>
  <si>
    <t>Meu Lugar (COANIG)</t>
  </si>
  <si>
    <t>Arcozelo</t>
  </si>
  <si>
    <t>Bairro Avelar</t>
  </si>
  <si>
    <t>Paty do Alferes</t>
  </si>
  <si>
    <t>Barro Branco</t>
  </si>
  <si>
    <t>Miguel Pereira</t>
  </si>
  <si>
    <t>Morro Azul</t>
  </si>
  <si>
    <t>Bairro Santa Rita</t>
  </si>
  <si>
    <t>Carmari</t>
  </si>
  <si>
    <t>Ponto Chic</t>
  </si>
  <si>
    <t>Cerâmica</t>
  </si>
  <si>
    <t>Cobrex</t>
  </si>
  <si>
    <t>Corumbá</t>
  </si>
  <si>
    <t>Posse</t>
  </si>
  <si>
    <t>Delamares</t>
  </si>
  <si>
    <t>Queimados</t>
  </si>
  <si>
    <t>Paraíso</t>
  </si>
  <si>
    <t>Rio D'ouro</t>
  </si>
  <si>
    <t>Vila Camorim</t>
  </si>
  <si>
    <t>Total da 3ª Região:</t>
  </si>
  <si>
    <t>4ª Região - Zona Norte (Pavunense)</t>
  </si>
  <si>
    <t>Belford Roxo</t>
  </si>
  <si>
    <t>Carlos Lamarca</t>
  </si>
  <si>
    <t>Heliópolis</t>
  </si>
  <si>
    <t>Nova Aurora</t>
  </si>
  <si>
    <t>Edson Gomes Loura</t>
  </si>
  <si>
    <t>Parque São Vicente</t>
  </si>
  <si>
    <t>Recantus</t>
  </si>
  <si>
    <t>Santa Marta</t>
  </si>
  <si>
    <t>São Bernardo</t>
  </si>
  <si>
    <t>Dique</t>
  </si>
  <si>
    <t>Jardim Metrópole</t>
  </si>
  <si>
    <t>Jardim Metropole</t>
  </si>
  <si>
    <t>Jardim Paraíso</t>
  </si>
  <si>
    <t>Daniel Muniz da Silva</t>
  </si>
  <si>
    <t>Parque Araruama</t>
  </si>
  <si>
    <t>Venda Velha</t>
  </si>
  <si>
    <t xml:space="preserve">Vila São João </t>
  </si>
  <si>
    <t>Chatuba</t>
  </si>
  <si>
    <t>Mirandela</t>
  </si>
  <si>
    <t>Juscelino</t>
  </si>
  <si>
    <t>K 11</t>
  </si>
  <si>
    <t>Mesquita</t>
  </si>
  <si>
    <t>Olinda</t>
  </si>
  <si>
    <t>Bacia</t>
  </si>
  <si>
    <t>Banco de Areia</t>
  </si>
  <si>
    <t>Éden</t>
  </si>
  <si>
    <t>Éden II</t>
  </si>
  <si>
    <t>Nilópolis</t>
  </si>
  <si>
    <t>Vila Emil</t>
  </si>
  <si>
    <t>Vila Norma</t>
  </si>
  <si>
    <t>Chico Mendes</t>
  </si>
  <si>
    <t>Pavuna</t>
  </si>
  <si>
    <t>Carlos Eduardo Francisco da Silva</t>
  </si>
  <si>
    <t>Pavuna II</t>
  </si>
  <si>
    <t>São João do Meriti</t>
  </si>
  <si>
    <t>Village</t>
  </si>
  <si>
    <t>Anchieta</t>
  </si>
  <si>
    <t>Nova Anchieta</t>
  </si>
  <si>
    <t>Ricardo de Albuquerque</t>
  </si>
  <si>
    <t>Paiol</t>
  </si>
  <si>
    <t>Parque Anchieta</t>
  </si>
  <si>
    <t>Tomazinho</t>
  </si>
  <si>
    <t>Coelho da Rocha</t>
  </si>
  <si>
    <t>Jardim Bom Pastor</t>
  </si>
  <si>
    <t>Vilar dos Teles</t>
  </si>
  <si>
    <t>Jardim Redentor</t>
  </si>
  <si>
    <t>Leandro Ricardo Carvalho Tostes</t>
  </si>
  <si>
    <t>Parque São José</t>
  </si>
  <si>
    <t>Parque São Pedro</t>
  </si>
  <si>
    <t>Vale das Mangueiras</t>
  </si>
  <si>
    <t>Total da 4ª Região:</t>
  </si>
  <si>
    <t xml:space="preserve">5ª Região - Zona Oeste (Jacarepaguá) </t>
  </si>
  <si>
    <t>Barra da Tijuca</t>
  </si>
  <si>
    <t>Jardim Oceânico</t>
  </si>
  <si>
    <t>Bandeirantes</t>
  </si>
  <si>
    <t>Curicica</t>
  </si>
  <si>
    <t>Anderson Cerri Novaes</t>
  </si>
  <si>
    <t>Santa Luzia</t>
  </si>
  <si>
    <t>Vargem Grande</t>
  </si>
  <si>
    <t>Vargem Pequena</t>
  </si>
  <si>
    <t>Freguesia</t>
  </si>
  <si>
    <t xml:space="preserve">Marcelo Pereira do Nascimento </t>
  </si>
  <si>
    <t>Gardênia Azul</t>
  </si>
  <si>
    <t>Pinheiro</t>
  </si>
  <si>
    <t>Rio das Pedras</t>
  </si>
  <si>
    <t>Tijuquinha</t>
  </si>
  <si>
    <t>Recreio</t>
  </si>
  <si>
    <t>Ilha de Guaratiba</t>
  </si>
  <si>
    <t>Cidade de Deus</t>
  </si>
  <si>
    <t>Taquara</t>
  </si>
  <si>
    <t>Guerenguê</t>
  </si>
  <si>
    <t>Rio Grande</t>
  </si>
  <si>
    <t>Total da 5ª Região:</t>
  </si>
  <si>
    <t xml:space="preserve">6ª Região - Zona Norte (Madureira) </t>
  </si>
  <si>
    <t>Acari</t>
  </si>
  <si>
    <t>Colégio</t>
  </si>
  <si>
    <t>Coelho Neto</t>
  </si>
  <si>
    <t>Marcelo de Faria Moreira</t>
  </si>
  <si>
    <t>Rocha Miranda</t>
  </si>
  <si>
    <t>Costa Barros</t>
  </si>
  <si>
    <t>Guadalupe</t>
  </si>
  <si>
    <t xml:space="preserve">Lucas Cassiano da Silva </t>
  </si>
  <si>
    <t>Guadalupe II</t>
  </si>
  <si>
    <t>Jardim Guadalupe</t>
  </si>
  <si>
    <t>Nova Esperança</t>
  </si>
  <si>
    <t>Cohab</t>
  </si>
  <si>
    <t>Jardim Novo Realengo</t>
  </si>
  <si>
    <t>Joseph dos Santos Samora</t>
  </si>
  <si>
    <t>Mallet</t>
  </si>
  <si>
    <t>Realengo</t>
  </si>
  <si>
    <t>Vila Militar</t>
  </si>
  <si>
    <t>Madureira</t>
  </si>
  <si>
    <t>Claudio Avelino de Amorim Barreto</t>
  </si>
  <si>
    <t>Osvaldo Cruz</t>
  </si>
  <si>
    <t>Piedade</t>
  </si>
  <si>
    <t>Quintino</t>
  </si>
  <si>
    <t>Bento Ribeiro</t>
  </si>
  <si>
    <t>Marechal Hermes</t>
  </si>
  <si>
    <t>Magalhães Bastos</t>
  </si>
  <si>
    <t>Praça Seca</t>
  </si>
  <si>
    <t>Vila Valqueire</t>
  </si>
  <si>
    <t>Iapc</t>
  </si>
  <si>
    <t>Vila Kosmos</t>
  </si>
  <si>
    <t>Irajá</t>
  </si>
  <si>
    <t>Alexandre Steidl Palomares</t>
  </si>
  <si>
    <t>Vaz Lobo</t>
  </si>
  <si>
    <t>Vila da Penha</t>
  </si>
  <si>
    <t>Total da 6ª Região:</t>
  </si>
  <si>
    <t>7ª Região - Região Sul Fluminense</t>
  </si>
  <si>
    <t>Barra do Piraí</t>
  </si>
  <si>
    <t>Mendes</t>
  </si>
  <si>
    <t>Passa Três</t>
  </si>
  <si>
    <t>Rio das Flores</t>
  </si>
  <si>
    <t>Valença</t>
  </si>
  <si>
    <t>Vassouras</t>
  </si>
  <si>
    <t>Barra Mansa</t>
  </si>
  <si>
    <t>Boa Sorte</t>
  </si>
  <si>
    <t>Boa Vista</t>
  </si>
  <si>
    <t>Goiabal</t>
  </si>
  <si>
    <t>Roma I</t>
  </si>
  <si>
    <t>Sobrado</t>
  </si>
  <si>
    <t>Vila Nova</t>
  </si>
  <si>
    <t>Vista Alegre</t>
  </si>
  <si>
    <t>Penedo</t>
  </si>
  <si>
    <t xml:space="preserve">Jessé Martins Coelho </t>
  </si>
  <si>
    <t>Cidade Alegria</t>
  </si>
  <si>
    <t>Itatiaia</t>
  </si>
  <si>
    <t>Resende</t>
  </si>
  <si>
    <t>Novo Tempo</t>
  </si>
  <si>
    <t>Porto Real</t>
  </si>
  <si>
    <t>Quatis</t>
  </si>
  <si>
    <t>Água Limpa</t>
  </si>
  <si>
    <t>Aterrado</t>
  </si>
  <si>
    <t>Volta Redonda</t>
  </si>
  <si>
    <t>Parque Maira</t>
  </si>
  <si>
    <t xml:space="preserve">Jafé Chaves de Souza </t>
  </si>
  <si>
    <t>Pinheiral</t>
  </si>
  <si>
    <t>Recanto do Sol</t>
  </si>
  <si>
    <t>Retiro</t>
  </si>
  <si>
    <t>Santa Cruz II</t>
  </si>
  <si>
    <t>Santo Agostinho</t>
  </si>
  <si>
    <t>Total da 7ª Região:</t>
  </si>
  <si>
    <t>8ª Região - Região Sul (Litorânea)</t>
  </si>
  <si>
    <t>Angra dos Reis</t>
  </si>
  <si>
    <t>Belém</t>
  </si>
  <si>
    <t>Bracuí</t>
  </si>
  <si>
    <t>Camorim Grande</t>
  </si>
  <si>
    <t>Raniel Lorosa de Sousa</t>
  </si>
  <si>
    <t>Frade</t>
  </si>
  <si>
    <t>Mambucaba</t>
  </si>
  <si>
    <t>Mambucaba II</t>
  </si>
  <si>
    <t>Nova Angra</t>
  </si>
  <si>
    <t>Campo do Corisco</t>
  </si>
  <si>
    <t>Colônia</t>
  </si>
  <si>
    <t>Paraty</t>
  </si>
  <si>
    <t>Coriscão</t>
  </si>
  <si>
    <t>José Carlos dos Santos Silva Junior</t>
  </si>
  <si>
    <t>Parque Verde</t>
  </si>
  <si>
    <t>Patrimônio</t>
  </si>
  <si>
    <t>Ponta da Trindade</t>
  </si>
  <si>
    <t>Sertão do Taquari</t>
  </si>
  <si>
    <t>Total da 8ª Região:</t>
  </si>
  <si>
    <t xml:space="preserve">9ª Região - Igreja Assistencial </t>
  </si>
  <si>
    <t xml:space="preserve">Distrito Assistencial </t>
  </si>
  <si>
    <t>Associação Rio Sul</t>
  </si>
  <si>
    <t>Sistema Prisional</t>
  </si>
  <si>
    <t>Total da 9ª Região:</t>
  </si>
  <si>
    <t>Região</t>
  </si>
  <si>
    <t>Distritos</t>
  </si>
  <si>
    <t>1. Zona Oeste (Central)</t>
  </si>
  <si>
    <t>2. Zona Oeste (Itaguaí)</t>
  </si>
  <si>
    <t>3. Baixada Fluminense (Iguaçuana)</t>
  </si>
  <si>
    <t>4. Zona Norte (Pavunense)</t>
  </si>
  <si>
    <t xml:space="preserve">5. Zona Oeste (Jacarepaguá) </t>
  </si>
  <si>
    <t xml:space="preserve">6. Zona Norte (Madureira) </t>
  </si>
  <si>
    <t>7. Sul Fluminense</t>
  </si>
  <si>
    <t>8. Litorânea</t>
  </si>
  <si>
    <t>9. Assistencial</t>
  </si>
  <si>
    <t>Inoperante</t>
  </si>
  <si>
    <t>Total Geral</t>
  </si>
  <si>
    <t>Pablo Campos Cerdá</t>
  </si>
  <si>
    <t>Fabrício Ferreira Mello</t>
  </si>
  <si>
    <t>João XXIII</t>
  </si>
  <si>
    <t>João Batista Bernardo Barbosa</t>
  </si>
  <si>
    <t>Flavio Lonardelli dos Anjos</t>
  </si>
  <si>
    <t>Luiz Carlos dos Santos</t>
  </si>
  <si>
    <t>Marcelo de Oliveira</t>
  </si>
  <si>
    <t>Sérgio de Souza Ávila</t>
  </si>
  <si>
    <t>Julio Cesar Roque</t>
  </si>
  <si>
    <t>Itamar Alves de Santana</t>
  </si>
  <si>
    <t>Robson Menezes Pereira da Rocha</t>
  </si>
  <si>
    <t>Gilles Ucker</t>
  </si>
  <si>
    <t>Luiz Carlos Salgado Junior</t>
  </si>
  <si>
    <t>Jardim Maracanã</t>
  </si>
  <si>
    <t xml:space="preserve">Guilherme Valente B. Ferreira </t>
  </si>
  <si>
    <t>Luiz Felipe Souza da Silva</t>
  </si>
  <si>
    <t>Claudio Alves Meireles</t>
  </si>
  <si>
    <t>Diego Pires Almeida</t>
  </si>
  <si>
    <t>Conceição de Jacareí</t>
  </si>
  <si>
    <t xml:space="preserve">Thiago Carneiro Ribeiro </t>
  </si>
  <si>
    <t>Hugo Gomes Magalhães</t>
  </si>
  <si>
    <t>José Maicon Santos Silva</t>
  </si>
  <si>
    <t>Marco Aurélio Dias  Romano</t>
  </si>
  <si>
    <t>Atualizado em 14/01/2026.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</si>
</sst>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indexed="8"/>
      <name val="Arial Narrow"/>
      <family val="2"/>
    </font>
    <font>
      <sz val="20"/>
      <color indexed="8"/>
      <name val="Arial Narrow"/>
      <family val="2"/>
    </font>
    <font>
      <sz val="20"/>
      <color theme="1"/>
      <name val="Calibri"/>
      <family val="2"/>
      <scheme val="minor"/>
    </font>
    <font>
      <b/>
      <sz val="20"/>
      <color rgb="FFFF0000"/>
      <name val="Arial Narrow"/>
      <family val="2"/>
    </font>
    <font>
      <sz val="20"/>
      <name val="Arial Narrow"/>
      <family val="2"/>
    </font>
    <font>
      <sz val="20"/>
      <color rgb="FFFF0000"/>
      <name val="Arial Narrow"/>
      <family val="2"/>
    </font>
    <font>
      <sz val="20"/>
      <color theme="1"/>
      <name val="Arial Narrow"/>
      <family val="2"/>
    </font>
    <font>
      <b/>
      <sz val="20"/>
      <color rgb="FF000000"/>
      <name val="Arial Narrow"/>
      <family val="2"/>
    </font>
    <font>
      <b/>
      <sz val="20"/>
      <color rgb="FF0070C0"/>
      <name val="Arial Narrow"/>
      <family val="2"/>
    </font>
    <font>
      <b/>
      <sz val="20"/>
      <color rgb="FF0070C0"/>
      <name val="Calibri"/>
      <family val="2"/>
      <scheme val="minor"/>
    </font>
    <font>
      <sz val="20"/>
      <name val="Times New Roman"/>
      <family val="1"/>
    </font>
    <font>
      <b/>
      <sz val="20"/>
      <name val="Arial Narrow"/>
      <family val="2"/>
    </font>
    <font>
      <sz val="18"/>
      <color indexed="8"/>
      <name val="Arial Narrow"/>
      <family val="2"/>
    </font>
    <font>
      <sz val="17"/>
      <color indexed="8"/>
      <name val="Arial Narrow"/>
      <family val="2"/>
    </font>
    <font>
      <sz val="19"/>
      <color indexed="8"/>
      <name val="Arial Narrow"/>
      <family val="2"/>
    </font>
    <font>
      <sz val="20"/>
      <color theme="0"/>
      <name val="Calibri"/>
      <family val="2"/>
      <scheme val="minor"/>
    </font>
    <font>
      <b/>
      <sz val="20"/>
      <color theme="1"/>
      <name val="Arial Narrow"/>
      <family val="2"/>
    </font>
    <font>
      <b/>
      <sz val="22"/>
      <color theme="1"/>
      <name val="Arial Narrow"/>
      <family val="2"/>
    </font>
    <font>
      <sz val="16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theme="2"/>
      </right>
      <top style="medium">
        <color indexed="64"/>
      </top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thin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 style="medium">
        <color theme="2"/>
      </bottom>
      <diagonal/>
    </border>
    <border>
      <left/>
      <right style="thin">
        <color theme="2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23" xfId="0" applyFont="1" applyFill="1" applyBorder="1"/>
    <xf numFmtId="0" fontId="4" fillId="2" borderId="5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8" fillId="2" borderId="5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9" fillId="2" borderId="7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8" fillId="2" borderId="10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8" fillId="2" borderId="7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5" fillId="0" borderId="20" xfId="0" applyFont="1" applyBorder="1"/>
    <xf numFmtId="3" fontId="12" fillId="0" borderId="0" xfId="0" applyNumberFormat="1" applyFont="1" applyAlignment="1">
      <alignment horizontal="center"/>
    </xf>
    <xf numFmtId="3" fontId="5" fillId="0" borderId="20" xfId="0" applyNumberFormat="1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2" borderId="43" xfId="0" applyFont="1" applyFill="1" applyBorder="1" applyAlignment="1">
      <alignment horizontal="center"/>
    </xf>
    <xf numFmtId="0" fontId="8" fillId="2" borderId="23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5" fillId="2" borderId="36" xfId="0" applyFont="1" applyFill="1" applyBorder="1"/>
    <xf numFmtId="0" fontId="8" fillId="2" borderId="44" xfId="0" applyFont="1" applyFill="1" applyBorder="1" applyAlignment="1">
      <alignment horizontal="center"/>
    </xf>
    <xf numFmtId="0" fontId="4" fillId="2" borderId="1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9" fillId="2" borderId="7" xfId="0" applyFont="1" applyFill="1" applyBorder="1"/>
    <xf numFmtId="0" fontId="9" fillId="2" borderId="8" xfId="0" applyFont="1" applyFill="1" applyBorder="1" applyAlignment="1">
      <alignment horizontal="center"/>
    </xf>
    <xf numFmtId="0" fontId="8" fillId="2" borderId="7" xfId="0" applyFont="1" applyFill="1" applyBorder="1"/>
    <xf numFmtId="0" fontId="8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2" borderId="24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12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center"/>
    </xf>
    <xf numFmtId="0" fontId="8" fillId="2" borderId="0" xfId="0" applyFont="1" applyFill="1" applyAlignment="1">
      <alignment vertical="center"/>
    </xf>
    <xf numFmtId="0" fontId="9" fillId="2" borderId="10" xfId="0" applyFont="1" applyFill="1" applyBorder="1"/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9" fillId="2" borderId="42" xfId="0" applyFont="1" applyFill="1" applyBorder="1" applyAlignment="1">
      <alignment horizontal="center"/>
    </xf>
    <xf numFmtId="0" fontId="8" fillId="2" borderId="15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2" borderId="9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7" fillId="2" borderId="25" xfId="0" applyFont="1" applyFill="1" applyBorder="1" applyAlignment="1">
      <alignment vertical="center"/>
    </xf>
    <xf numFmtId="0" fontId="4" fillId="2" borderId="45" xfId="0" applyFont="1" applyFill="1" applyBorder="1" applyAlignment="1">
      <alignment horizontal="center"/>
    </xf>
    <xf numFmtId="0" fontId="8" fillId="2" borderId="25" xfId="0" applyFont="1" applyFill="1" applyBorder="1" applyAlignment="1">
      <alignment vertical="center"/>
    </xf>
    <xf numFmtId="0" fontId="4" fillId="2" borderId="46" xfId="0" applyFont="1" applyFill="1" applyBorder="1" applyAlignment="1">
      <alignment horizont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0" xfId="0" applyFont="1" applyFill="1" applyAlignment="1">
      <alignment horizontal="center"/>
    </xf>
    <xf numFmtId="0" fontId="8" fillId="2" borderId="11" xfId="0" applyFont="1" applyFill="1" applyBorder="1"/>
    <xf numFmtId="0" fontId="8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vertical="center"/>
    </xf>
    <xf numFmtId="0" fontId="11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/>
    </xf>
    <xf numFmtId="0" fontId="11" fillId="0" borderId="32" xfId="0" applyFont="1" applyBorder="1" applyAlignment="1">
      <alignment vertical="center"/>
    </xf>
    <xf numFmtId="0" fontId="4" fillId="0" borderId="28" xfId="0" applyFont="1" applyBorder="1" applyAlignment="1">
      <alignment horizontal="center"/>
    </xf>
    <xf numFmtId="0" fontId="11" fillId="0" borderId="30" xfId="0" applyFont="1" applyBorder="1" applyAlignment="1">
      <alignment vertical="center"/>
    </xf>
    <xf numFmtId="3" fontId="11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5" fillId="0" borderId="34" xfId="0" applyFont="1" applyBorder="1"/>
    <xf numFmtId="0" fontId="4" fillId="0" borderId="35" xfId="0" applyFont="1" applyBorder="1" applyAlignment="1">
      <alignment horizontal="center" vertical="center"/>
    </xf>
    <xf numFmtId="0" fontId="4" fillId="2" borderId="17" xfId="0" applyFont="1" applyFill="1" applyBorder="1"/>
    <xf numFmtId="0" fontId="4" fillId="2" borderId="17" xfId="0" applyFont="1" applyFill="1" applyBorder="1" applyAlignment="1">
      <alignment horizontal="center"/>
    </xf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2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2" xfId="0" applyFont="1" applyBorder="1"/>
    <xf numFmtId="0" fontId="5" fillId="0" borderId="2" xfId="0" applyFont="1" applyBorder="1"/>
    <xf numFmtId="0" fontId="14" fillId="2" borderId="41" xfId="0" applyFont="1" applyFill="1" applyBorder="1" applyAlignment="1">
      <alignment horizontal="left" vertical="top" wrapText="1"/>
    </xf>
    <xf numFmtId="0" fontId="14" fillId="2" borderId="37" xfId="0" applyFont="1" applyFill="1" applyBorder="1" applyAlignment="1">
      <alignment horizontal="center" vertical="top" wrapText="1"/>
    </xf>
    <xf numFmtId="0" fontId="14" fillId="2" borderId="40" xfId="0" applyFont="1" applyFill="1" applyBorder="1" applyAlignment="1">
      <alignment horizontal="center" vertical="top" wrapText="1"/>
    </xf>
    <xf numFmtId="0" fontId="14" fillId="2" borderId="41" xfId="0" applyFont="1" applyFill="1" applyBorder="1" applyAlignment="1">
      <alignment vertical="top" wrapText="1"/>
    </xf>
    <xf numFmtId="0" fontId="14" fillId="2" borderId="37" xfId="0" applyFont="1" applyFill="1" applyBorder="1" applyAlignment="1" applyProtection="1">
      <alignment horizontal="center" vertical="top" wrapText="1"/>
      <protection hidden="1"/>
    </xf>
    <xf numFmtId="0" fontId="14" fillId="2" borderId="40" xfId="0" applyFont="1" applyFill="1" applyBorder="1" applyAlignment="1" applyProtection="1">
      <alignment horizontal="center" vertical="top" wrapText="1"/>
      <protection hidden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 applyProtection="1">
      <alignment horizontal="center" wrapText="1"/>
      <protection hidden="1"/>
    </xf>
    <xf numFmtId="0" fontId="14" fillId="2" borderId="40" xfId="0" applyFont="1" applyFill="1" applyBorder="1" applyAlignment="1" applyProtection="1">
      <alignment horizontal="center" wrapText="1"/>
      <protection hidden="1"/>
    </xf>
    <xf numFmtId="0" fontId="15" fillId="2" borderId="16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/>
    </xf>
    <xf numFmtId="3" fontId="5" fillId="0" borderId="0" xfId="0" applyNumberFormat="1" applyFont="1"/>
    <xf numFmtId="0" fontId="4" fillId="0" borderId="34" xfId="0" applyFont="1" applyBorder="1" applyAlignment="1">
      <alignment horizontal="center" vertical="center"/>
    </xf>
    <xf numFmtId="0" fontId="18" fillId="4" borderId="0" xfId="0" applyFont="1" applyFill="1" applyAlignment="1">
      <alignment horizontal="center"/>
    </xf>
    <xf numFmtId="0" fontId="4" fillId="2" borderId="49" xfId="0" applyFont="1" applyFill="1" applyBorder="1"/>
    <xf numFmtId="0" fontId="4" fillId="2" borderId="49" xfId="0" applyFont="1" applyFill="1" applyBorder="1" applyAlignment="1">
      <alignment horizontal="center"/>
    </xf>
    <xf numFmtId="0" fontId="4" fillId="3" borderId="0" xfId="0" applyFont="1" applyFill="1"/>
    <xf numFmtId="3" fontId="19" fillId="2" borderId="37" xfId="0" applyNumberFormat="1" applyFont="1" applyFill="1" applyBorder="1" applyAlignment="1">
      <alignment horizontal="center"/>
    </xf>
    <xf numFmtId="0" fontId="19" fillId="2" borderId="37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9" fillId="2" borderId="11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14" fillId="2" borderId="47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20" xfId="0" applyFont="1" applyBorder="1"/>
    <xf numFmtId="0" fontId="5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EE9B-6D7F-45A2-984C-A776BBD14841}">
  <sheetPr>
    <pageSetUpPr fitToPage="1"/>
  </sheetPr>
  <dimension ref="B2:F388"/>
  <sheetViews>
    <sheetView tabSelected="1" topLeftCell="B1" workbookViewId="0">
      <selection activeCell="G6" sqref="G6"/>
    </sheetView>
  </sheetViews>
  <sheetFormatPr defaultRowHeight="26.25" x14ac:dyDescent="0.4"/>
  <cols>
    <col min="1" max="1" width="6" customWidth="1"/>
    <col min="2" max="2" width="46.42578125" style="5" customWidth="1"/>
    <col min="3" max="3" width="34.140625" style="5" customWidth="1"/>
    <col min="4" max="4" width="35.5703125" style="5" customWidth="1"/>
    <col min="5" max="5" width="30.42578125" style="5" customWidth="1"/>
    <col min="6" max="6" width="31.7109375" customWidth="1"/>
  </cols>
  <sheetData>
    <row r="2" spans="2:5" ht="25.5" x14ac:dyDescent="0.25">
      <c r="B2" s="220" t="s">
        <v>0</v>
      </c>
      <c r="C2" s="220"/>
      <c r="D2" s="220"/>
      <c r="E2" s="221"/>
    </row>
    <row r="3" spans="2:5" x14ac:dyDescent="0.4">
      <c r="B3" s="4"/>
      <c r="D3" s="6"/>
      <c r="E3" s="7"/>
    </row>
    <row r="4" spans="2:5" ht="25.5" x14ac:dyDescent="0.25">
      <c r="B4" s="220" t="s">
        <v>1</v>
      </c>
      <c r="C4" s="220"/>
      <c r="D4" s="220"/>
      <c r="E4" s="221"/>
    </row>
    <row r="5" spans="2:5" ht="25.5" x14ac:dyDescent="0.25">
      <c r="B5" s="220" t="s">
        <v>2</v>
      </c>
      <c r="C5" s="220"/>
      <c r="D5" s="220"/>
      <c r="E5" s="221"/>
    </row>
    <row r="6" spans="2:5" ht="25.5" x14ac:dyDescent="0.35">
      <c r="B6" s="222" t="s">
        <v>397</v>
      </c>
      <c r="C6" s="222"/>
      <c r="D6" s="222"/>
      <c r="E6" s="223"/>
    </row>
    <row r="7" spans="2:5" ht="25.5" x14ac:dyDescent="0.25">
      <c r="B7" s="218" t="s">
        <v>3</v>
      </c>
      <c r="C7" s="218"/>
      <c r="D7" s="218"/>
      <c r="E7" s="224"/>
    </row>
    <row r="8" spans="2:5" thickBot="1" x14ac:dyDescent="0.4">
      <c r="B8" s="10"/>
      <c r="C8" s="11" t="s">
        <v>4</v>
      </c>
      <c r="D8" s="12" t="s">
        <v>5</v>
      </c>
      <c r="E8" s="13" t="s">
        <v>6</v>
      </c>
    </row>
    <row r="9" spans="2:5" x14ac:dyDescent="0.4">
      <c r="B9" s="14"/>
      <c r="C9" s="15" t="s">
        <v>7</v>
      </c>
      <c r="D9" s="16" t="s">
        <v>8</v>
      </c>
      <c r="E9" s="17">
        <v>101</v>
      </c>
    </row>
    <row r="10" spans="2:5" ht="25.5" x14ac:dyDescent="0.25">
      <c r="B10" s="18" t="s">
        <v>9</v>
      </c>
      <c r="C10" s="19" t="s">
        <v>9</v>
      </c>
      <c r="D10" s="16" t="s">
        <v>8</v>
      </c>
      <c r="E10" s="20">
        <v>251</v>
      </c>
    </row>
    <row r="11" spans="2:5" ht="25.5" x14ac:dyDescent="0.35">
      <c r="B11" s="21" t="s">
        <v>10</v>
      </c>
      <c r="C11" s="22" t="s">
        <v>11</v>
      </c>
      <c r="D11" s="23" t="s">
        <v>8</v>
      </c>
      <c r="E11" s="24">
        <v>42</v>
      </c>
    </row>
    <row r="12" spans="2:5" ht="25.5" x14ac:dyDescent="0.35">
      <c r="B12" s="21">
        <f>SUM(E9:E15)</f>
        <v>667</v>
      </c>
      <c r="C12" s="22" t="s">
        <v>12</v>
      </c>
      <c r="D12" s="23" t="s">
        <v>8</v>
      </c>
      <c r="E12" s="24">
        <v>76</v>
      </c>
    </row>
    <row r="13" spans="2:5" x14ac:dyDescent="0.4">
      <c r="B13" s="25"/>
      <c r="C13" s="26" t="s">
        <v>13</v>
      </c>
      <c r="D13" s="23" t="s">
        <v>8</v>
      </c>
      <c r="E13" s="27">
        <v>30</v>
      </c>
    </row>
    <row r="14" spans="2:5" ht="25.5" x14ac:dyDescent="0.35">
      <c r="B14" s="21"/>
      <c r="C14" s="22" t="s">
        <v>14</v>
      </c>
      <c r="D14" s="16" t="s">
        <v>8</v>
      </c>
      <c r="E14" s="20">
        <v>78</v>
      </c>
    </row>
    <row r="15" spans="2:5" thickBot="1" x14ac:dyDescent="0.4">
      <c r="B15" s="28"/>
      <c r="C15" s="29" t="s">
        <v>15</v>
      </c>
      <c r="D15" s="30" t="s">
        <v>8</v>
      </c>
      <c r="E15" s="31">
        <v>89</v>
      </c>
    </row>
    <row r="16" spans="2:5" x14ac:dyDescent="0.4">
      <c r="B16" s="14"/>
      <c r="C16" s="19" t="s">
        <v>16</v>
      </c>
      <c r="D16" s="16" t="s">
        <v>8</v>
      </c>
      <c r="E16" s="32">
        <v>136</v>
      </c>
    </row>
    <row r="17" spans="2:5" x14ac:dyDescent="0.4">
      <c r="B17" s="25"/>
      <c r="C17" s="33" t="s">
        <v>17</v>
      </c>
      <c r="D17" s="34" t="s">
        <v>8</v>
      </c>
      <c r="E17" s="35">
        <v>32</v>
      </c>
    </row>
    <row r="18" spans="2:5" ht="25.5" x14ac:dyDescent="0.35">
      <c r="B18" s="18" t="s">
        <v>16</v>
      </c>
      <c r="C18" s="19" t="s">
        <v>18</v>
      </c>
      <c r="D18" s="16" t="s">
        <v>8</v>
      </c>
      <c r="E18" s="32">
        <v>105</v>
      </c>
    </row>
    <row r="19" spans="2:5" ht="25.5" x14ac:dyDescent="0.35">
      <c r="B19" s="21" t="s">
        <v>19</v>
      </c>
      <c r="C19" s="22" t="s">
        <v>20</v>
      </c>
      <c r="D19" s="16" t="s">
        <v>8</v>
      </c>
      <c r="E19" s="32">
        <v>89</v>
      </c>
    </row>
    <row r="20" spans="2:5" ht="25.5" x14ac:dyDescent="0.35">
      <c r="B20" s="21">
        <f>SUM(E16+E17+E18+E19+E20+E21+E22)</f>
        <v>555</v>
      </c>
      <c r="C20" s="36" t="s">
        <v>21</v>
      </c>
      <c r="D20" s="37" t="s">
        <v>22</v>
      </c>
      <c r="E20" s="38">
        <v>37</v>
      </c>
    </row>
    <row r="21" spans="2:5" ht="25.5" x14ac:dyDescent="0.35">
      <c r="B21" s="21"/>
      <c r="C21" s="36" t="s">
        <v>23</v>
      </c>
      <c r="D21" s="37" t="s">
        <v>22</v>
      </c>
      <c r="E21" s="38">
        <v>19</v>
      </c>
    </row>
    <row r="22" spans="2:5" thickBot="1" x14ac:dyDescent="0.4">
      <c r="B22" s="21"/>
      <c r="C22" s="22" t="s">
        <v>24</v>
      </c>
      <c r="D22" s="39" t="s">
        <v>8</v>
      </c>
      <c r="E22" s="40">
        <v>137</v>
      </c>
    </row>
    <row r="23" spans="2:5" ht="25.5" x14ac:dyDescent="0.35">
      <c r="B23" s="41"/>
      <c r="C23" s="42"/>
      <c r="D23" s="43"/>
      <c r="E23" s="32"/>
    </row>
    <row r="24" spans="2:5" ht="25.5" x14ac:dyDescent="0.35">
      <c r="B24" s="18" t="s">
        <v>25</v>
      </c>
      <c r="C24" s="22" t="s">
        <v>25</v>
      </c>
      <c r="D24" s="23" t="s">
        <v>8</v>
      </c>
      <c r="E24" s="44">
        <v>573</v>
      </c>
    </row>
    <row r="25" spans="2:5" ht="25.5" x14ac:dyDescent="0.35">
      <c r="B25" s="197" t="s">
        <v>384</v>
      </c>
      <c r="C25" s="36" t="s">
        <v>27</v>
      </c>
      <c r="D25" s="45" t="s">
        <v>22</v>
      </c>
      <c r="E25" s="46">
        <v>13</v>
      </c>
    </row>
    <row r="26" spans="2:5" thickBot="1" x14ac:dyDescent="0.4">
      <c r="B26" s="21">
        <f>SUM(E24:E26)</f>
        <v>586</v>
      </c>
      <c r="C26" s="36"/>
      <c r="D26" s="37"/>
      <c r="E26" s="47"/>
    </row>
    <row r="27" spans="2:5" ht="25.5" x14ac:dyDescent="0.35">
      <c r="B27" s="48"/>
      <c r="C27" s="49" t="s">
        <v>28</v>
      </c>
      <c r="D27" s="50" t="s">
        <v>22</v>
      </c>
      <c r="E27" s="38">
        <v>34</v>
      </c>
    </row>
    <row r="28" spans="2:5" ht="25.5" x14ac:dyDescent="0.35">
      <c r="B28" s="21"/>
      <c r="C28" s="19" t="s">
        <v>29</v>
      </c>
      <c r="D28" s="16" t="s">
        <v>8</v>
      </c>
      <c r="E28" s="32">
        <v>77</v>
      </c>
    </row>
    <row r="29" spans="2:5" ht="25.5" x14ac:dyDescent="0.35">
      <c r="B29" s="51" t="s">
        <v>30</v>
      </c>
      <c r="C29" s="52" t="s">
        <v>30</v>
      </c>
      <c r="D29" s="53" t="s">
        <v>8</v>
      </c>
      <c r="E29" s="35">
        <v>158</v>
      </c>
    </row>
    <row r="30" spans="2:5" ht="25.5" x14ac:dyDescent="0.35">
      <c r="B30" s="21" t="s">
        <v>31</v>
      </c>
      <c r="C30" s="33" t="s">
        <v>32</v>
      </c>
      <c r="D30" s="34" t="s">
        <v>8</v>
      </c>
      <c r="E30" s="35">
        <v>101</v>
      </c>
    </row>
    <row r="31" spans="2:5" ht="25.5" x14ac:dyDescent="0.35">
      <c r="B31" s="54">
        <f>SUM(E27:E34)</f>
        <v>665</v>
      </c>
      <c r="C31" s="33" t="s">
        <v>33</v>
      </c>
      <c r="D31" s="34" t="s">
        <v>8</v>
      </c>
      <c r="E31" s="35">
        <v>73</v>
      </c>
    </row>
    <row r="32" spans="2:5" ht="25.5" x14ac:dyDescent="0.35">
      <c r="B32" s="21"/>
      <c r="C32" s="19" t="s">
        <v>34</v>
      </c>
      <c r="D32" s="16" t="s">
        <v>8</v>
      </c>
      <c r="E32" s="32">
        <v>114</v>
      </c>
    </row>
    <row r="33" spans="2:5" ht="25.5" x14ac:dyDescent="0.35">
      <c r="B33" s="21"/>
      <c r="C33" s="19" t="s">
        <v>35</v>
      </c>
      <c r="D33" s="16" t="s">
        <v>8</v>
      </c>
      <c r="E33" s="32">
        <v>82</v>
      </c>
    </row>
    <row r="34" spans="2:5" thickBot="1" x14ac:dyDescent="0.4">
      <c r="B34" s="55"/>
      <c r="C34" s="56" t="s">
        <v>36</v>
      </c>
      <c r="D34" s="57" t="s">
        <v>22</v>
      </c>
      <c r="E34" s="47">
        <v>26</v>
      </c>
    </row>
    <row r="35" spans="2:5" ht="25.5" x14ac:dyDescent="0.35">
      <c r="B35" s="58"/>
      <c r="C35" s="59" t="s">
        <v>37</v>
      </c>
      <c r="D35" s="34" t="s">
        <v>8</v>
      </c>
      <c r="E35" s="35">
        <v>64</v>
      </c>
    </row>
    <row r="36" spans="2:5" ht="25.5" x14ac:dyDescent="0.35">
      <c r="B36" s="18" t="s">
        <v>38</v>
      </c>
      <c r="C36" s="36" t="s">
        <v>39</v>
      </c>
      <c r="D36" s="37" t="s">
        <v>22</v>
      </c>
      <c r="E36" s="38">
        <v>50</v>
      </c>
    </row>
    <row r="37" spans="2:5" ht="25.5" x14ac:dyDescent="0.35">
      <c r="B37" s="21" t="s">
        <v>40</v>
      </c>
      <c r="C37" s="26" t="s">
        <v>38</v>
      </c>
      <c r="D37" s="16" t="s">
        <v>8</v>
      </c>
      <c r="E37" s="32">
        <v>380</v>
      </c>
    </row>
    <row r="38" spans="2:5" ht="25.5" x14ac:dyDescent="0.35">
      <c r="B38" s="21">
        <f>SUM(E35:E41)</f>
        <v>791</v>
      </c>
      <c r="C38" s="22" t="s">
        <v>41</v>
      </c>
      <c r="D38" s="16" t="s">
        <v>8</v>
      </c>
      <c r="E38" s="32">
        <v>64</v>
      </c>
    </row>
    <row r="39" spans="2:5" ht="25.5" x14ac:dyDescent="0.35">
      <c r="B39" s="21"/>
      <c r="C39" s="36" t="s">
        <v>42</v>
      </c>
      <c r="D39" s="37" t="s">
        <v>22</v>
      </c>
      <c r="E39" s="38">
        <v>68</v>
      </c>
    </row>
    <row r="40" spans="2:5" ht="25.5" x14ac:dyDescent="0.35">
      <c r="B40" s="21"/>
      <c r="C40" s="26" t="s">
        <v>43</v>
      </c>
      <c r="D40" s="34" t="s">
        <v>8</v>
      </c>
      <c r="E40" s="35">
        <v>43</v>
      </c>
    </row>
    <row r="41" spans="2:5" thickBot="1" x14ac:dyDescent="0.4">
      <c r="B41" s="28"/>
      <c r="C41" s="60" t="s">
        <v>44</v>
      </c>
      <c r="D41" s="61" t="s">
        <v>8</v>
      </c>
      <c r="E41" s="62">
        <v>122</v>
      </c>
    </row>
    <row r="42" spans="2:5" ht="25.5" x14ac:dyDescent="0.35">
      <c r="B42" s="21"/>
      <c r="C42" s="63" t="s">
        <v>45</v>
      </c>
      <c r="D42" s="64" t="s">
        <v>8</v>
      </c>
      <c r="E42" s="35">
        <v>88</v>
      </c>
    </row>
    <row r="43" spans="2:5" ht="25.5" x14ac:dyDescent="0.35">
      <c r="B43" s="21" t="s">
        <v>46</v>
      </c>
      <c r="C43" s="22" t="s">
        <v>47</v>
      </c>
      <c r="D43" s="65" t="s">
        <v>8</v>
      </c>
      <c r="E43" s="32">
        <v>185</v>
      </c>
    </row>
    <row r="44" spans="2:5" ht="27.75" customHeight="1" x14ac:dyDescent="0.35">
      <c r="B44" s="21" t="s">
        <v>52</v>
      </c>
      <c r="C44" s="36" t="s">
        <v>48</v>
      </c>
      <c r="D44" s="66" t="s">
        <v>22</v>
      </c>
      <c r="E44" s="38">
        <v>96</v>
      </c>
    </row>
    <row r="45" spans="2:5" thickBot="1" x14ac:dyDescent="0.4">
      <c r="B45" s="28">
        <f>SUM(E42+E43+E44+E45)</f>
        <v>451</v>
      </c>
      <c r="C45" s="22" t="s">
        <v>49</v>
      </c>
      <c r="D45" s="16" t="s">
        <v>8</v>
      </c>
      <c r="E45" s="40">
        <v>82</v>
      </c>
    </row>
    <row r="46" spans="2:5" ht="25.5" x14ac:dyDescent="0.35">
      <c r="B46" s="18" t="s">
        <v>50</v>
      </c>
      <c r="C46" s="42" t="s">
        <v>51</v>
      </c>
      <c r="D46" s="67" t="s">
        <v>8</v>
      </c>
      <c r="E46" s="32">
        <v>77</v>
      </c>
    </row>
    <row r="47" spans="2:5" x14ac:dyDescent="0.4">
      <c r="B47" s="211" t="s">
        <v>374</v>
      </c>
      <c r="C47" s="22" t="s">
        <v>53</v>
      </c>
      <c r="D47" s="16" t="s">
        <v>8</v>
      </c>
      <c r="E47" s="32">
        <v>76</v>
      </c>
    </row>
    <row r="48" spans="2:5" ht="25.5" x14ac:dyDescent="0.35">
      <c r="B48" s="21">
        <f>SUM(E46+E47+E48+E49)</f>
        <v>512</v>
      </c>
      <c r="C48" s="26" t="s">
        <v>54</v>
      </c>
      <c r="D48" s="34" t="s">
        <v>8</v>
      </c>
      <c r="E48" s="35">
        <v>82</v>
      </c>
    </row>
    <row r="49" spans="2:6" thickBot="1" x14ac:dyDescent="0.4">
      <c r="B49" s="55"/>
      <c r="C49" s="68" t="s">
        <v>50</v>
      </c>
      <c r="D49" s="69" t="s">
        <v>8</v>
      </c>
      <c r="E49" s="70">
        <v>277</v>
      </c>
    </row>
    <row r="50" spans="2:6" ht="25.5" x14ac:dyDescent="0.35">
      <c r="B50" s="103" t="s">
        <v>56</v>
      </c>
      <c r="C50" s="19" t="s">
        <v>58</v>
      </c>
      <c r="D50" s="16" t="s">
        <v>8</v>
      </c>
      <c r="E50" s="32">
        <v>298</v>
      </c>
    </row>
    <row r="51" spans="2:6" ht="25.5" x14ac:dyDescent="0.35">
      <c r="B51" s="21" t="s">
        <v>57</v>
      </c>
      <c r="C51" s="19" t="s">
        <v>59</v>
      </c>
      <c r="D51" s="16" t="s">
        <v>8</v>
      </c>
      <c r="E51" s="32">
        <v>148</v>
      </c>
      <c r="F51" s="1"/>
    </row>
    <row r="52" spans="2:6" ht="25.5" x14ac:dyDescent="0.35">
      <c r="B52" s="21">
        <f>SUM(E50++E51+E52+E53)</f>
        <v>602</v>
      </c>
      <c r="C52" s="33" t="s">
        <v>60</v>
      </c>
      <c r="D52" s="34" t="s">
        <v>8</v>
      </c>
      <c r="E52" s="35">
        <v>57</v>
      </c>
    </row>
    <row r="53" spans="2:6" thickBot="1" x14ac:dyDescent="0.4">
      <c r="B53" s="21"/>
      <c r="C53" s="72" t="s">
        <v>61</v>
      </c>
      <c r="D53" s="73" t="s">
        <v>8</v>
      </c>
      <c r="E53" s="70">
        <v>99</v>
      </c>
    </row>
    <row r="54" spans="2:6" x14ac:dyDescent="0.4">
      <c r="B54" s="229"/>
      <c r="D54" s="74"/>
      <c r="E54" s="75"/>
    </row>
    <row r="55" spans="2:6" x14ac:dyDescent="0.4">
      <c r="B55" s="76" t="s">
        <v>62</v>
      </c>
      <c r="C55" s="77" t="s">
        <v>63</v>
      </c>
      <c r="D55" s="78">
        <v>35</v>
      </c>
      <c r="E55" s="79"/>
    </row>
    <row r="56" spans="2:6" x14ac:dyDescent="0.4">
      <c r="B56" s="76"/>
      <c r="C56" s="77" t="s">
        <v>64</v>
      </c>
      <c r="D56" s="78">
        <v>10</v>
      </c>
      <c r="E56" s="79"/>
    </row>
    <row r="57" spans="2:6" x14ac:dyDescent="0.4">
      <c r="B57" s="76"/>
      <c r="C57" s="77" t="s">
        <v>65</v>
      </c>
      <c r="D57" s="80">
        <f>SUM(E9:E53)</f>
        <v>4829</v>
      </c>
      <c r="E57" s="81"/>
    </row>
    <row r="58" spans="2:6" x14ac:dyDescent="0.4">
      <c r="E58" s="79"/>
    </row>
    <row r="59" spans="2:6" ht="25.5" x14ac:dyDescent="0.25">
      <c r="B59" s="225" t="s">
        <v>66</v>
      </c>
      <c r="C59" s="225"/>
      <c r="D59" s="225"/>
      <c r="E59" s="225"/>
    </row>
    <row r="60" spans="2:6" thickBot="1" x14ac:dyDescent="0.4">
      <c r="B60" s="10"/>
      <c r="C60" s="82" t="s">
        <v>4</v>
      </c>
      <c r="D60" s="12" t="s">
        <v>5</v>
      </c>
      <c r="E60" s="83" t="s">
        <v>6</v>
      </c>
    </row>
    <row r="61" spans="2:6" ht="25.5" x14ac:dyDescent="0.35">
      <c r="B61" s="84"/>
      <c r="C61" s="85" t="s">
        <v>67</v>
      </c>
      <c r="D61" s="86" t="s">
        <v>22</v>
      </c>
      <c r="E61" s="87">
        <v>62</v>
      </c>
    </row>
    <row r="62" spans="2:6" ht="25.5" x14ac:dyDescent="0.35">
      <c r="B62" s="88"/>
      <c r="C62" s="36" t="s">
        <v>68</v>
      </c>
      <c r="D62" s="37" t="s">
        <v>22</v>
      </c>
      <c r="E62" s="38">
        <v>62</v>
      </c>
    </row>
    <row r="63" spans="2:6" ht="25.5" x14ac:dyDescent="0.35">
      <c r="B63" s="89" t="s">
        <v>69</v>
      </c>
      <c r="C63" s="22" t="s">
        <v>70</v>
      </c>
      <c r="D63" s="16" t="s">
        <v>8</v>
      </c>
      <c r="E63" s="32">
        <v>62</v>
      </c>
    </row>
    <row r="64" spans="2:6" ht="25.5" x14ac:dyDescent="0.35">
      <c r="B64" s="88" t="s">
        <v>71</v>
      </c>
      <c r="C64" s="22" t="s">
        <v>69</v>
      </c>
      <c r="D64" s="16" t="s">
        <v>8</v>
      </c>
      <c r="E64" s="32">
        <v>393</v>
      </c>
    </row>
    <row r="65" spans="2:5" ht="25.5" x14ac:dyDescent="0.35">
      <c r="B65" s="90">
        <f>SUM(E61,E62,E63,E64,E65,E66,E67)</f>
        <v>770</v>
      </c>
      <c r="C65" s="26" t="s">
        <v>72</v>
      </c>
      <c r="D65" s="34" t="s">
        <v>8</v>
      </c>
      <c r="E65" s="35">
        <v>105</v>
      </c>
    </row>
    <row r="66" spans="2:5" x14ac:dyDescent="0.4">
      <c r="B66" s="91"/>
      <c r="C66" s="36" t="s">
        <v>73</v>
      </c>
      <c r="D66" s="37" t="s">
        <v>22</v>
      </c>
      <c r="E66" s="38">
        <v>27</v>
      </c>
    </row>
    <row r="67" spans="2:5" thickBot="1" x14ac:dyDescent="0.4">
      <c r="B67" s="92"/>
      <c r="C67" s="93" t="s">
        <v>74</v>
      </c>
      <c r="D67" s="94" t="s">
        <v>8</v>
      </c>
      <c r="E67" s="70">
        <v>59</v>
      </c>
    </row>
    <row r="68" spans="2:5" x14ac:dyDescent="0.4">
      <c r="B68" s="25"/>
      <c r="C68" s="22" t="s">
        <v>75</v>
      </c>
      <c r="D68" s="23" t="s">
        <v>8</v>
      </c>
      <c r="E68" s="44">
        <v>115</v>
      </c>
    </row>
    <row r="69" spans="2:5" ht="25.5" x14ac:dyDescent="0.35">
      <c r="B69" s="18" t="s">
        <v>76</v>
      </c>
      <c r="C69" s="19" t="s">
        <v>77</v>
      </c>
      <c r="D69" s="23" t="s">
        <v>8</v>
      </c>
      <c r="E69" s="44">
        <v>55</v>
      </c>
    </row>
    <row r="70" spans="2:5" ht="25.5" x14ac:dyDescent="0.35">
      <c r="B70" s="88" t="s">
        <v>388</v>
      </c>
      <c r="C70" s="36" t="s">
        <v>78</v>
      </c>
      <c r="D70" s="45" t="s">
        <v>22</v>
      </c>
      <c r="E70" s="38">
        <v>41</v>
      </c>
    </row>
    <row r="71" spans="2:5" ht="25.5" x14ac:dyDescent="0.35">
      <c r="B71" s="88">
        <f>SUM(E68:E74)</f>
        <v>719</v>
      </c>
      <c r="C71" s="26" t="s">
        <v>79</v>
      </c>
      <c r="D71" s="198" t="s">
        <v>8</v>
      </c>
      <c r="E71" s="35">
        <v>71</v>
      </c>
    </row>
    <row r="72" spans="2:5" ht="25.5" x14ac:dyDescent="0.35">
      <c r="B72" s="88"/>
      <c r="C72" s="22" t="s">
        <v>76</v>
      </c>
      <c r="D72" s="16" t="s">
        <v>8</v>
      </c>
      <c r="E72" s="32">
        <v>221</v>
      </c>
    </row>
    <row r="73" spans="2:5" ht="25.5" x14ac:dyDescent="0.35">
      <c r="B73" s="21"/>
      <c r="C73" s="33" t="s">
        <v>80</v>
      </c>
      <c r="D73" s="34" t="s">
        <v>8</v>
      </c>
      <c r="E73" s="35">
        <v>98</v>
      </c>
    </row>
    <row r="74" spans="2:5" thickBot="1" x14ac:dyDescent="0.4">
      <c r="B74" s="28"/>
      <c r="C74" s="93" t="s">
        <v>81</v>
      </c>
      <c r="D74" s="73" t="s">
        <v>8</v>
      </c>
      <c r="E74" s="40">
        <v>118</v>
      </c>
    </row>
    <row r="75" spans="2:5" ht="25.5" x14ac:dyDescent="0.35">
      <c r="B75" s="21"/>
      <c r="C75" s="19" t="s">
        <v>82</v>
      </c>
      <c r="D75" s="16" t="s">
        <v>8</v>
      </c>
      <c r="E75" s="32">
        <v>60</v>
      </c>
    </row>
    <row r="76" spans="2:5" ht="25.5" x14ac:dyDescent="0.35">
      <c r="B76" s="21"/>
      <c r="C76" s="71" t="s">
        <v>83</v>
      </c>
      <c r="D76" s="37" t="s">
        <v>22</v>
      </c>
      <c r="E76" s="38">
        <v>62</v>
      </c>
    </row>
    <row r="77" spans="2:5" ht="25.5" x14ac:dyDescent="0.35">
      <c r="B77" s="21"/>
      <c r="C77" s="71" t="s">
        <v>84</v>
      </c>
      <c r="D77" s="37" t="s">
        <v>22</v>
      </c>
      <c r="E77" s="38">
        <v>64</v>
      </c>
    </row>
    <row r="78" spans="2:5" ht="25.5" x14ac:dyDescent="0.35">
      <c r="B78" s="21"/>
      <c r="C78" s="71" t="s">
        <v>85</v>
      </c>
      <c r="D78" s="37" t="s">
        <v>22</v>
      </c>
      <c r="E78" s="38">
        <v>77</v>
      </c>
    </row>
    <row r="79" spans="2:5" ht="25.5" x14ac:dyDescent="0.35">
      <c r="B79" s="51" t="s">
        <v>86</v>
      </c>
      <c r="C79" s="71" t="s">
        <v>87</v>
      </c>
      <c r="D79" s="37" t="s">
        <v>22</v>
      </c>
      <c r="E79" s="38">
        <v>61</v>
      </c>
    </row>
    <row r="80" spans="2:5" ht="25.5" x14ac:dyDescent="0.35">
      <c r="B80" s="21" t="s">
        <v>375</v>
      </c>
      <c r="C80" s="71" t="s">
        <v>88</v>
      </c>
      <c r="D80" s="37" t="s">
        <v>22</v>
      </c>
      <c r="E80" s="38">
        <v>28</v>
      </c>
    </row>
    <row r="81" spans="2:5" ht="25.5" x14ac:dyDescent="0.35">
      <c r="B81" s="21">
        <f>SUM(E75, E76, E77,E78, E79,E80, E81, E82, E83,E84, E85)</f>
        <v>908</v>
      </c>
      <c r="C81" s="33" t="s">
        <v>89</v>
      </c>
      <c r="D81" s="34" t="s">
        <v>8</v>
      </c>
      <c r="E81" s="35">
        <v>49</v>
      </c>
    </row>
    <row r="82" spans="2:5" ht="25.5" x14ac:dyDescent="0.35">
      <c r="B82" s="21"/>
      <c r="C82" s="19" t="s">
        <v>90</v>
      </c>
      <c r="D82" s="16" t="s">
        <v>8</v>
      </c>
      <c r="E82" s="32">
        <v>133</v>
      </c>
    </row>
    <row r="83" spans="2:5" ht="25.5" x14ac:dyDescent="0.35">
      <c r="B83" s="21"/>
      <c r="C83" s="19" t="s">
        <v>91</v>
      </c>
      <c r="D83" s="16" t="s">
        <v>8</v>
      </c>
      <c r="E83" s="32">
        <v>81</v>
      </c>
    </row>
    <row r="84" spans="2:5" ht="25.5" x14ac:dyDescent="0.35">
      <c r="B84" s="21"/>
      <c r="C84" s="33" t="s">
        <v>92</v>
      </c>
      <c r="D84" s="34" t="s">
        <v>8</v>
      </c>
      <c r="E84" s="35">
        <v>240</v>
      </c>
    </row>
    <row r="85" spans="2:5" thickBot="1" x14ac:dyDescent="0.4">
      <c r="B85" s="28"/>
      <c r="C85" s="95" t="s">
        <v>93</v>
      </c>
      <c r="D85" s="96" t="s">
        <v>22</v>
      </c>
      <c r="E85" s="47">
        <v>53</v>
      </c>
    </row>
    <row r="86" spans="2:5" ht="25.5" x14ac:dyDescent="0.35">
      <c r="B86" s="21"/>
      <c r="C86" s="71" t="s">
        <v>94</v>
      </c>
      <c r="D86" s="37" t="s">
        <v>22</v>
      </c>
      <c r="E86" s="38">
        <v>33</v>
      </c>
    </row>
    <row r="87" spans="2:5" ht="25.5" x14ac:dyDescent="0.35">
      <c r="B87" s="21"/>
      <c r="C87" s="33" t="s">
        <v>95</v>
      </c>
      <c r="D87" s="34" t="s">
        <v>8</v>
      </c>
      <c r="E87" s="35">
        <v>137</v>
      </c>
    </row>
    <row r="88" spans="2:5" ht="25.5" x14ac:dyDescent="0.35">
      <c r="B88" s="51" t="s">
        <v>96</v>
      </c>
      <c r="C88" s="33" t="s">
        <v>97</v>
      </c>
      <c r="D88" s="34" t="s">
        <v>8</v>
      </c>
      <c r="E88" s="35">
        <v>47</v>
      </c>
    </row>
    <row r="89" spans="2:5" ht="25.5" x14ac:dyDescent="0.35">
      <c r="B89" s="21" t="s">
        <v>98</v>
      </c>
      <c r="C89" s="33" t="s">
        <v>99</v>
      </c>
      <c r="D89" s="34" t="s">
        <v>8</v>
      </c>
      <c r="E89" s="35">
        <v>70</v>
      </c>
    </row>
    <row r="90" spans="2:5" ht="25.5" x14ac:dyDescent="0.35">
      <c r="B90" s="21">
        <f>SUM(E86,E87,E88,E89,E90,E91)</f>
        <v>426</v>
      </c>
      <c r="C90" s="33" t="s">
        <v>96</v>
      </c>
      <c r="D90" s="34" t="s">
        <v>8</v>
      </c>
      <c r="E90" s="35">
        <v>101</v>
      </c>
    </row>
    <row r="91" spans="2:5" thickBot="1" x14ac:dyDescent="0.4">
      <c r="B91" s="21"/>
      <c r="C91" s="210" t="s">
        <v>100</v>
      </c>
      <c r="D91" s="61" t="s">
        <v>8</v>
      </c>
      <c r="E91" s="47">
        <v>38</v>
      </c>
    </row>
    <row r="92" spans="2:5" ht="25.5" x14ac:dyDescent="0.35">
      <c r="B92" s="41"/>
      <c r="C92" s="19" t="s">
        <v>101</v>
      </c>
      <c r="D92" s="16" t="s">
        <v>8</v>
      </c>
      <c r="E92" s="32">
        <v>46</v>
      </c>
    </row>
    <row r="93" spans="2:5" ht="25.5" x14ac:dyDescent="0.35">
      <c r="B93" s="97"/>
      <c r="C93" s="26" t="s">
        <v>102</v>
      </c>
      <c r="D93" s="34" t="s">
        <v>8</v>
      </c>
      <c r="E93" s="35">
        <v>77</v>
      </c>
    </row>
    <row r="94" spans="2:5" ht="25.5" x14ac:dyDescent="0.35">
      <c r="B94" s="18"/>
      <c r="C94" s="98" t="s">
        <v>103</v>
      </c>
      <c r="D94" s="53" t="s">
        <v>8</v>
      </c>
      <c r="E94" s="99">
        <v>115</v>
      </c>
    </row>
    <row r="95" spans="2:5" ht="25.5" x14ac:dyDescent="0.35">
      <c r="B95" s="18"/>
      <c r="C95" s="100" t="s">
        <v>104</v>
      </c>
      <c r="D95" s="37" t="s">
        <v>22</v>
      </c>
      <c r="E95" s="38">
        <v>58</v>
      </c>
    </row>
    <row r="96" spans="2:5" ht="25.5" x14ac:dyDescent="0.35">
      <c r="B96" s="97" t="s">
        <v>105</v>
      </c>
      <c r="C96" s="36" t="s">
        <v>106</v>
      </c>
      <c r="D96" s="37" t="s">
        <v>22</v>
      </c>
      <c r="E96" s="38">
        <v>63</v>
      </c>
    </row>
    <row r="97" spans="2:6" ht="25.5" x14ac:dyDescent="0.35">
      <c r="B97" s="21" t="s">
        <v>395</v>
      </c>
      <c r="C97" s="36" t="s">
        <v>376</v>
      </c>
      <c r="D97" s="37" t="s">
        <v>22</v>
      </c>
      <c r="E97" s="38">
        <v>98</v>
      </c>
    </row>
    <row r="98" spans="2:6" ht="25.5" x14ac:dyDescent="0.35">
      <c r="B98" s="21">
        <f>SUM(E92+E93+E94+E95+E96+E97+E98+E99+E100+E101+E102)</f>
        <v>1110</v>
      </c>
      <c r="C98" s="22" t="s">
        <v>107</v>
      </c>
      <c r="D98" s="16" t="s">
        <v>8</v>
      </c>
      <c r="E98" s="32">
        <v>153</v>
      </c>
    </row>
    <row r="99" spans="2:6" ht="25.5" x14ac:dyDescent="0.35">
      <c r="B99" s="21"/>
      <c r="C99" s="36" t="s">
        <v>108</v>
      </c>
      <c r="D99" s="37" t="s">
        <v>22</v>
      </c>
      <c r="E99" s="38">
        <v>190</v>
      </c>
    </row>
    <row r="100" spans="2:6" ht="25.5" x14ac:dyDescent="0.35">
      <c r="B100" s="21"/>
      <c r="C100" s="22" t="s">
        <v>109</v>
      </c>
      <c r="D100" s="16" t="s">
        <v>8</v>
      </c>
      <c r="E100" s="32">
        <v>53</v>
      </c>
    </row>
    <row r="101" spans="2:6" ht="25.5" x14ac:dyDescent="0.35">
      <c r="B101" s="21"/>
      <c r="C101" s="22" t="s">
        <v>105</v>
      </c>
      <c r="D101" s="23" t="s">
        <v>8</v>
      </c>
      <c r="E101" s="32">
        <v>229</v>
      </c>
    </row>
    <row r="102" spans="2:6" thickBot="1" x14ac:dyDescent="0.4">
      <c r="B102" s="28"/>
      <c r="C102" s="95" t="s">
        <v>110</v>
      </c>
      <c r="D102" s="101" t="s">
        <v>22</v>
      </c>
      <c r="E102" s="47">
        <v>28</v>
      </c>
    </row>
    <row r="103" spans="2:6" x14ac:dyDescent="0.4">
      <c r="B103" s="25"/>
      <c r="C103" s="19" t="s">
        <v>111</v>
      </c>
      <c r="D103" s="16" t="s">
        <v>8</v>
      </c>
      <c r="E103" s="32">
        <v>95</v>
      </c>
    </row>
    <row r="104" spans="2:6" x14ac:dyDescent="0.4">
      <c r="B104" s="25"/>
      <c r="C104" s="71" t="s">
        <v>392</v>
      </c>
      <c r="D104" s="37" t="s">
        <v>22</v>
      </c>
      <c r="E104" s="38">
        <v>16</v>
      </c>
    </row>
    <row r="105" spans="2:6" ht="25.5" x14ac:dyDescent="0.35">
      <c r="B105" s="21"/>
      <c r="C105" s="71" t="s">
        <v>112</v>
      </c>
      <c r="D105" s="37" t="s">
        <v>22</v>
      </c>
      <c r="E105" s="38">
        <v>18</v>
      </c>
    </row>
    <row r="106" spans="2:6" ht="25.5" x14ac:dyDescent="0.35">
      <c r="B106" s="21"/>
      <c r="C106" s="36" t="s">
        <v>113</v>
      </c>
      <c r="D106" s="37" t="s">
        <v>22</v>
      </c>
      <c r="E106" s="38">
        <v>47</v>
      </c>
    </row>
    <row r="107" spans="2:6" x14ac:dyDescent="0.4">
      <c r="B107" s="51" t="s">
        <v>114</v>
      </c>
      <c r="C107" s="33" t="s">
        <v>115</v>
      </c>
      <c r="D107" s="16" t="s">
        <v>8</v>
      </c>
      <c r="E107" s="35">
        <v>0</v>
      </c>
      <c r="F107" s="202" t="s">
        <v>55</v>
      </c>
    </row>
    <row r="108" spans="2:6" ht="25.5" x14ac:dyDescent="0.35">
      <c r="B108" s="21" t="s">
        <v>116</v>
      </c>
      <c r="C108" s="19" t="s">
        <v>117</v>
      </c>
      <c r="D108" s="16" t="s">
        <v>8</v>
      </c>
      <c r="E108" s="32">
        <v>85</v>
      </c>
      <c r="F108" s="1"/>
    </row>
    <row r="109" spans="2:6" ht="25.5" x14ac:dyDescent="0.35">
      <c r="B109" s="21">
        <f>SUM(E103:E111)</f>
        <v>455</v>
      </c>
      <c r="C109" s="71" t="s">
        <v>118</v>
      </c>
      <c r="D109" s="37" t="s">
        <v>22</v>
      </c>
      <c r="E109" s="38">
        <v>24</v>
      </c>
      <c r="F109" s="1"/>
    </row>
    <row r="110" spans="2:6" ht="25.5" x14ac:dyDescent="0.35">
      <c r="B110" s="21"/>
      <c r="C110" s="22" t="s">
        <v>119</v>
      </c>
      <c r="D110" s="16" t="s">
        <v>8</v>
      </c>
      <c r="E110" s="32">
        <v>20</v>
      </c>
    </row>
    <row r="111" spans="2:6" thickBot="1" x14ac:dyDescent="0.4">
      <c r="B111" s="58"/>
      <c r="C111" s="22" t="s">
        <v>114</v>
      </c>
      <c r="D111" s="102" t="s">
        <v>8</v>
      </c>
      <c r="E111" s="40">
        <v>150</v>
      </c>
      <c r="F111" s="1"/>
    </row>
    <row r="112" spans="2:6" ht="25.5" x14ac:dyDescent="0.35">
      <c r="B112" s="103" t="s">
        <v>120</v>
      </c>
      <c r="C112" s="15" t="s">
        <v>121</v>
      </c>
      <c r="D112" s="43" t="s">
        <v>8</v>
      </c>
      <c r="E112" s="44">
        <v>88</v>
      </c>
    </row>
    <row r="113" spans="2:5" ht="25.5" x14ac:dyDescent="0.35">
      <c r="B113" s="21" t="s">
        <v>122</v>
      </c>
      <c r="C113" s="71" t="s">
        <v>387</v>
      </c>
      <c r="D113" s="45" t="s">
        <v>22</v>
      </c>
      <c r="E113" s="46">
        <v>18</v>
      </c>
    </row>
    <row r="114" spans="2:5" ht="25.5" x14ac:dyDescent="0.35">
      <c r="B114" s="21">
        <f>SUM(E112,E113,E114,B116,E115,E116,E117)</f>
        <v>462</v>
      </c>
      <c r="C114" s="19" t="s">
        <v>123</v>
      </c>
      <c r="D114" s="23" t="s">
        <v>8</v>
      </c>
      <c r="E114" s="44">
        <v>79</v>
      </c>
    </row>
    <row r="115" spans="2:5" ht="25.5" x14ac:dyDescent="0.35">
      <c r="B115" s="21"/>
      <c r="C115" s="19" t="s">
        <v>124</v>
      </c>
      <c r="D115" s="23" t="s">
        <v>8</v>
      </c>
      <c r="E115" s="44">
        <v>50</v>
      </c>
    </row>
    <row r="116" spans="2:5" ht="25.5" x14ac:dyDescent="0.35">
      <c r="B116" s="21"/>
      <c r="C116" s="19" t="s">
        <v>125</v>
      </c>
      <c r="D116" s="23" t="s">
        <v>8</v>
      </c>
      <c r="E116" s="44">
        <v>39</v>
      </c>
    </row>
    <row r="117" spans="2:5" thickBot="1" x14ac:dyDescent="0.4">
      <c r="B117" s="28"/>
      <c r="C117" s="72" t="s">
        <v>120</v>
      </c>
      <c r="D117" s="102" t="s">
        <v>8</v>
      </c>
      <c r="E117" s="104">
        <v>188</v>
      </c>
    </row>
    <row r="118" spans="2:5" x14ac:dyDescent="0.4">
      <c r="D118" s="200"/>
      <c r="E118" s="75"/>
    </row>
    <row r="119" spans="2:5" x14ac:dyDescent="0.4">
      <c r="B119" s="76" t="s">
        <v>126</v>
      </c>
      <c r="C119" s="77" t="s">
        <v>63</v>
      </c>
      <c r="D119" s="78">
        <v>36</v>
      </c>
      <c r="E119" s="79"/>
    </row>
    <row r="120" spans="2:5" x14ac:dyDescent="0.4">
      <c r="B120" s="76"/>
      <c r="C120" s="77" t="s">
        <v>64</v>
      </c>
      <c r="D120" s="78">
        <v>21</v>
      </c>
      <c r="E120" s="79"/>
    </row>
    <row r="121" spans="2:5" x14ac:dyDescent="0.4">
      <c r="B121" s="4"/>
      <c r="C121" s="77" t="s">
        <v>127</v>
      </c>
      <c r="D121" s="80">
        <f>SUM(E61:E117)</f>
        <v>4850</v>
      </c>
      <c r="E121" s="79"/>
    </row>
    <row r="122" spans="2:5" x14ac:dyDescent="0.4">
      <c r="E122" s="79"/>
    </row>
    <row r="123" spans="2:5" ht="25.5" x14ac:dyDescent="0.25">
      <c r="B123" s="218" t="s">
        <v>128</v>
      </c>
      <c r="C123" s="218"/>
      <c r="D123" s="218"/>
      <c r="E123" s="218"/>
    </row>
    <row r="124" spans="2:5" thickBot="1" x14ac:dyDescent="0.4">
      <c r="B124" s="4"/>
      <c r="C124" s="11" t="s">
        <v>4</v>
      </c>
      <c r="D124" s="105" t="s">
        <v>5</v>
      </c>
      <c r="E124" s="13" t="s">
        <v>6</v>
      </c>
    </row>
    <row r="125" spans="2:5" ht="25.5" x14ac:dyDescent="0.35">
      <c r="B125" s="103"/>
      <c r="C125" s="106" t="s">
        <v>129</v>
      </c>
      <c r="D125" s="107" t="s">
        <v>8</v>
      </c>
      <c r="E125" s="108">
        <v>150</v>
      </c>
    </row>
    <row r="126" spans="2:5" ht="25.5" x14ac:dyDescent="0.35">
      <c r="B126" s="18"/>
      <c r="C126" s="109" t="s">
        <v>130</v>
      </c>
      <c r="D126" s="110" t="s">
        <v>8</v>
      </c>
      <c r="E126" s="99">
        <v>82</v>
      </c>
    </row>
    <row r="127" spans="2:5" ht="25.5" x14ac:dyDescent="0.35">
      <c r="B127" s="18" t="s">
        <v>129</v>
      </c>
      <c r="C127" s="111" t="s">
        <v>131</v>
      </c>
      <c r="D127" s="65" t="s">
        <v>8</v>
      </c>
      <c r="E127" s="32">
        <v>96</v>
      </c>
    </row>
    <row r="128" spans="2:5" ht="25.5" x14ac:dyDescent="0.35">
      <c r="B128" s="21" t="s">
        <v>163</v>
      </c>
      <c r="C128" s="112" t="s">
        <v>132</v>
      </c>
      <c r="D128" s="113" t="s">
        <v>8</v>
      </c>
      <c r="E128" s="35">
        <v>71</v>
      </c>
    </row>
    <row r="129" spans="2:5" ht="25.5" x14ac:dyDescent="0.35">
      <c r="B129" s="21">
        <f>SUM(E125:E130)</f>
        <v>498</v>
      </c>
      <c r="C129" s="111" t="s">
        <v>133</v>
      </c>
      <c r="D129" s="65" t="s">
        <v>8</v>
      </c>
      <c r="E129" s="32">
        <v>67</v>
      </c>
    </row>
    <row r="130" spans="2:5" thickBot="1" x14ac:dyDescent="0.4">
      <c r="B130" s="28"/>
      <c r="C130" s="114" t="s">
        <v>134</v>
      </c>
      <c r="D130" s="73" t="s">
        <v>8</v>
      </c>
      <c r="E130" s="40">
        <v>32</v>
      </c>
    </row>
    <row r="131" spans="2:5" x14ac:dyDescent="0.4">
      <c r="B131" s="25"/>
      <c r="C131" s="111" t="s">
        <v>135</v>
      </c>
      <c r="D131" s="65" t="s">
        <v>8</v>
      </c>
      <c r="E131" s="32">
        <v>122</v>
      </c>
    </row>
    <row r="132" spans="2:5" ht="25.5" x14ac:dyDescent="0.35">
      <c r="B132" s="51"/>
      <c r="C132" s="111" t="s">
        <v>136</v>
      </c>
      <c r="D132" s="65" t="s">
        <v>8</v>
      </c>
      <c r="E132" s="32">
        <v>116</v>
      </c>
    </row>
    <row r="133" spans="2:5" ht="25.5" x14ac:dyDescent="0.35">
      <c r="B133" s="51"/>
      <c r="C133" s="111" t="s">
        <v>137</v>
      </c>
      <c r="D133" s="65" t="s">
        <v>8</v>
      </c>
      <c r="E133" s="32">
        <v>115</v>
      </c>
    </row>
    <row r="134" spans="2:5" ht="25.5" x14ac:dyDescent="0.35">
      <c r="B134" s="51" t="s">
        <v>135</v>
      </c>
      <c r="C134" s="111" t="s">
        <v>138</v>
      </c>
      <c r="D134" s="65" t="s">
        <v>8</v>
      </c>
      <c r="E134" s="32">
        <v>128</v>
      </c>
    </row>
    <row r="135" spans="2:5" ht="25.5" x14ac:dyDescent="0.35">
      <c r="B135" s="21" t="s">
        <v>377</v>
      </c>
      <c r="C135" s="119" t="s">
        <v>140</v>
      </c>
      <c r="D135" s="66" t="s">
        <v>22</v>
      </c>
      <c r="E135" s="38">
        <v>93</v>
      </c>
    </row>
    <row r="136" spans="2:5" ht="25.5" x14ac:dyDescent="0.35">
      <c r="B136" s="21">
        <f>SUM(E131:E138)</f>
        <v>792</v>
      </c>
      <c r="C136" s="111" t="s">
        <v>141</v>
      </c>
      <c r="D136" s="65" t="s">
        <v>8</v>
      </c>
      <c r="E136" s="32">
        <v>111</v>
      </c>
    </row>
    <row r="137" spans="2:5" ht="25.5" x14ac:dyDescent="0.35">
      <c r="B137" s="21"/>
      <c r="C137" s="115" t="s">
        <v>142</v>
      </c>
      <c r="D137" s="66" t="s">
        <v>22</v>
      </c>
      <c r="E137" s="38">
        <v>45</v>
      </c>
    </row>
    <row r="138" spans="2:5" thickBot="1" x14ac:dyDescent="0.4">
      <c r="B138" s="28"/>
      <c r="C138" s="146" t="s">
        <v>143</v>
      </c>
      <c r="D138" s="30" t="s">
        <v>8</v>
      </c>
      <c r="E138" s="70">
        <v>62</v>
      </c>
    </row>
    <row r="139" spans="2:5" ht="25.5" x14ac:dyDescent="0.35">
      <c r="B139" s="21"/>
      <c r="C139" s="116" t="s">
        <v>144</v>
      </c>
      <c r="D139" s="113" t="s">
        <v>8</v>
      </c>
      <c r="E139" s="35">
        <v>92</v>
      </c>
    </row>
    <row r="140" spans="2:5" ht="25.5" x14ac:dyDescent="0.35">
      <c r="B140" s="21"/>
      <c r="C140" s="116" t="s">
        <v>145</v>
      </c>
      <c r="D140" s="113" t="s">
        <v>8</v>
      </c>
      <c r="E140" s="35">
        <v>125</v>
      </c>
    </row>
    <row r="141" spans="2:5" ht="25.5" x14ac:dyDescent="0.35">
      <c r="B141" s="118" t="s">
        <v>145</v>
      </c>
      <c r="C141" s="116" t="s">
        <v>146</v>
      </c>
      <c r="D141" s="113" t="s">
        <v>8</v>
      </c>
      <c r="E141" s="35">
        <v>162</v>
      </c>
    </row>
    <row r="142" spans="2:5" ht="25.5" x14ac:dyDescent="0.35">
      <c r="B142" s="21" t="s">
        <v>394</v>
      </c>
      <c r="C142" s="116" t="s">
        <v>147</v>
      </c>
      <c r="D142" s="113" t="s">
        <v>8</v>
      </c>
      <c r="E142" s="35">
        <v>56</v>
      </c>
    </row>
    <row r="143" spans="2:5" ht="25.5" x14ac:dyDescent="0.35">
      <c r="B143" s="21">
        <f>SUM(E139+E140+E141+E142+E143+E144+E145+E146)</f>
        <v>717</v>
      </c>
      <c r="C143" s="116" t="s">
        <v>148</v>
      </c>
      <c r="D143" s="113" t="s">
        <v>8</v>
      </c>
      <c r="E143" s="35">
        <v>45</v>
      </c>
    </row>
    <row r="144" spans="2:5" ht="25.5" x14ac:dyDescent="0.35">
      <c r="B144" s="21"/>
      <c r="C144" s="119" t="s">
        <v>149</v>
      </c>
      <c r="D144" s="66" t="s">
        <v>22</v>
      </c>
      <c r="E144" s="38">
        <v>38</v>
      </c>
    </row>
    <row r="145" spans="2:5" ht="25.5" x14ac:dyDescent="0.35">
      <c r="B145" s="21"/>
      <c r="C145" s="119" t="s">
        <v>150</v>
      </c>
      <c r="D145" s="66" t="s">
        <v>22</v>
      </c>
      <c r="E145" s="38">
        <v>77</v>
      </c>
    </row>
    <row r="146" spans="2:5" thickBot="1" x14ac:dyDescent="0.4">
      <c r="B146" s="28"/>
      <c r="C146" s="120" t="s">
        <v>151</v>
      </c>
      <c r="D146" s="121" t="s">
        <v>8</v>
      </c>
      <c r="E146" s="122">
        <v>122</v>
      </c>
    </row>
    <row r="147" spans="2:5" x14ac:dyDescent="0.4">
      <c r="B147" s="25"/>
      <c r="C147" s="123" t="s">
        <v>152</v>
      </c>
      <c r="D147" s="65" t="s">
        <v>8</v>
      </c>
      <c r="E147" s="32">
        <v>242</v>
      </c>
    </row>
    <row r="148" spans="2:5" x14ac:dyDescent="0.4">
      <c r="B148" s="25"/>
      <c r="C148" s="123" t="s">
        <v>153</v>
      </c>
      <c r="D148" s="65" t="s">
        <v>8</v>
      </c>
      <c r="E148" s="32">
        <v>67</v>
      </c>
    </row>
    <row r="149" spans="2:5" ht="25.5" x14ac:dyDescent="0.35">
      <c r="B149" s="18" t="s">
        <v>154</v>
      </c>
      <c r="C149" s="123" t="s">
        <v>155</v>
      </c>
      <c r="D149" s="65" t="s">
        <v>8</v>
      </c>
      <c r="E149" s="32">
        <v>35</v>
      </c>
    </row>
    <row r="150" spans="2:5" ht="25.5" x14ac:dyDescent="0.35">
      <c r="B150" s="124" t="s">
        <v>385</v>
      </c>
      <c r="C150" s="123" t="s">
        <v>154</v>
      </c>
      <c r="D150" s="65" t="s">
        <v>8</v>
      </c>
      <c r="E150" s="32">
        <v>156</v>
      </c>
    </row>
    <row r="151" spans="2:5" ht="25.5" x14ac:dyDescent="0.35">
      <c r="B151" s="21">
        <f>SUM(E147:E153)</f>
        <v>818</v>
      </c>
      <c r="C151" s="119" t="s">
        <v>156</v>
      </c>
      <c r="D151" s="66" t="s">
        <v>22</v>
      </c>
      <c r="E151" s="38">
        <v>29</v>
      </c>
    </row>
    <row r="152" spans="2:5" ht="25.5" x14ac:dyDescent="0.35">
      <c r="B152" s="21"/>
      <c r="C152" s="111" t="s">
        <v>157</v>
      </c>
      <c r="D152" s="65" t="s">
        <v>8</v>
      </c>
      <c r="E152" s="32">
        <v>213</v>
      </c>
    </row>
    <row r="153" spans="2:5" thickBot="1" x14ac:dyDescent="0.4">
      <c r="B153" s="28"/>
      <c r="C153" s="114" t="s">
        <v>158</v>
      </c>
      <c r="D153" s="73" t="s">
        <v>8</v>
      </c>
      <c r="E153" s="40">
        <v>76</v>
      </c>
    </row>
    <row r="154" spans="2:5" x14ac:dyDescent="0.4">
      <c r="B154" s="14"/>
      <c r="C154" s="119" t="s">
        <v>159</v>
      </c>
      <c r="D154" s="66" t="s">
        <v>22</v>
      </c>
      <c r="E154" s="38">
        <v>40</v>
      </c>
    </row>
    <row r="155" spans="2:5" x14ac:dyDescent="0.4">
      <c r="B155" s="25"/>
      <c r="C155" s="111" t="s">
        <v>160</v>
      </c>
      <c r="D155" s="65" t="s">
        <v>8</v>
      </c>
      <c r="E155" s="32">
        <v>112</v>
      </c>
    </row>
    <row r="156" spans="2:5" ht="25.5" x14ac:dyDescent="0.35">
      <c r="B156" s="18" t="s">
        <v>161</v>
      </c>
      <c r="C156" s="115" t="s">
        <v>162</v>
      </c>
      <c r="D156" s="66" t="s">
        <v>22</v>
      </c>
      <c r="E156" s="38">
        <v>32</v>
      </c>
    </row>
    <row r="157" spans="2:5" ht="25.5" x14ac:dyDescent="0.35">
      <c r="B157" s="21" t="s">
        <v>207</v>
      </c>
      <c r="C157" s="115" t="s">
        <v>164</v>
      </c>
      <c r="D157" s="66" t="s">
        <v>22</v>
      </c>
      <c r="E157" s="38">
        <v>34</v>
      </c>
    </row>
    <row r="158" spans="2:5" ht="25.5" x14ac:dyDescent="0.35">
      <c r="B158" s="21">
        <f>SUM(E154:E160)</f>
        <v>733</v>
      </c>
      <c r="C158" s="111" t="s">
        <v>161</v>
      </c>
      <c r="D158" s="65" t="s">
        <v>8</v>
      </c>
      <c r="E158" s="32">
        <v>275</v>
      </c>
    </row>
    <row r="159" spans="2:5" ht="25.5" x14ac:dyDescent="0.35">
      <c r="B159" s="125"/>
      <c r="C159" s="116" t="s">
        <v>165</v>
      </c>
      <c r="D159" s="113" t="s">
        <v>8</v>
      </c>
      <c r="E159" s="35">
        <v>54</v>
      </c>
    </row>
    <row r="160" spans="2:5" thickBot="1" x14ac:dyDescent="0.4">
      <c r="B160" s="28"/>
      <c r="C160" s="114" t="s">
        <v>166</v>
      </c>
      <c r="D160" s="73" t="s">
        <v>8</v>
      </c>
      <c r="E160" s="40">
        <v>186</v>
      </c>
    </row>
    <row r="161" spans="2:5" x14ac:dyDescent="0.4">
      <c r="B161" s="14"/>
      <c r="C161" s="116" t="s">
        <v>167</v>
      </c>
      <c r="D161" s="65" t="s">
        <v>8</v>
      </c>
      <c r="E161" s="35">
        <v>99</v>
      </c>
    </row>
    <row r="162" spans="2:5" ht="25.5" x14ac:dyDescent="0.35">
      <c r="B162" s="18" t="s">
        <v>168</v>
      </c>
      <c r="C162" s="119" t="s">
        <v>169</v>
      </c>
      <c r="D162" s="66" t="s">
        <v>22</v>
      </c>
      <c r="E162" s="38">
        <v>29</v>
      </c>
    </row>
    <row r="163" spans="2:5" ht="25.5" x14ac:dyDescent="0.35">
      <c r="B163" s="21" t="s">
        <v>170</v>
      </c>
      <c r="C163" s="119" t="s">
        <v>171</v>
      </c>
      <c r="D163" s="66" t="s">
        <v>22</v>
      </c>
      <c r="E163" s="38">
        <v>51</v>
      </c>
    </row>
    <row r="164" spans="2:5" ht="25.5" x14ac:dyDescent="0.35">
      <c r="B164" s="21">
        <f>SUM(E161:E166)</f>
        <v>945</v>
      </c>
      <c r="C164" s="123" t="s">
        <v>172</v>
      </c>
      <c r="D164" s="65" t="s">
        <v>8</v>
      </c>
      <c r="E164" s="32">
        <v>171</v>
      </c>
    </row>
    <row r="165" spans="2:5" ht="25.5" x14ac:dyDescent="0.35">
      <c r="B165" s="21"/>
      <c r="C165" s="119" t="s">
        <v>173</v>
      </c>
      <c r="D165" s="66" t="s">
        <v>22</v>
      </c>
      <c r="E165" s="38">
        <v>50</v>
      </c>
    </row>
    <row r="166" spans="2:5" thickBot="1" x14ac:dyDescent="0.4">
      <c r="B166" s="28"/>
      <c r="C166" s="126" t="s">
        <v>168</v>
      </c>
      <c r="D166" s="73" t="s">
        <v>8</v>
      </c>
      <c r="E166" s="40">
        <v>545</v>
      </c>
    </row>
    <row r="167" spans="2:5" ht="25.5" x14ac:dyDescent="0.35">
      <c r="B167" s="18"/>
      <c r="C167" s="127" t="s">
        <v>174</v>
      </c>
      <c r="D167" s="128" t="s">
        <v>22</v>
      </c>
      <c r="E167" s="38">
        <v>31</v>
      </c>
    </row>
    <row r="168" spans="2:5" x14ac:dyDescent="0.4">
      <c r="B168" s="25"/>
      <c r="C168" s="115" t="s">
        <v>175</v>
      </c>
      <c r="D168" s="66" t="s">
        <v>22</v>
      </c>
      <c r="E168" s="38">
        <v>49</v>
      </c>
    </row>
    <row r="169" spans="2:5" ht="25.5" x14ac:dyDescent="0.35">
      <c r="B169" s="18" t="s">
        <v>176</v>
      </c>
      <c r="C169" s="111" t="s">
        <v>177</v>
      </c>
      <c r="D169" s="65" t="s">
        <v>8</v>
      </c>
      <c r="E169" s="32">
        <v>83</v>
      </c>
    </row>
    <row r="170" spans="2:5" ht="25.5" x14ac:dyDescent="0.35">
      <c r="B170" s="196" t="s">
        <v>378</v>
      </c>
      <c r="C170" s="112" t="s">
        <v>178</v>
      </c>
      <c r="D170" s="113" t="s">
        <v>8</v>
      </c>
      <c r="E170" s="35">
        <v>53</v>
      </c>
    </row>
    <row r="171" spans="2:5" ht="25.5" x14ac:dyDescent="0.35">
      <c r="B171" s="21">
        <f>SUM(E167:E172)</f>
        <v>350</v>
      </c>
      <c r="C171" s="115" t="s">
        <v>179</v>
      </c>
      <c r="D171" s="66" t="s">
        <v>22</v>
      </c>
      <c r="E171" s="38">
        <v>28</v>
      </c>
    </row>
    <row r="172" spans="2:5" thickBot="1" x14ac:dyDescent="0.4">
      <c r="B172" s="21"/>
      <c r="C172" s="114" t="s">
        <v>176</v>
      </c>
      <c r="D172" s="73" t="s">
        <v>8</v>
      </c>
      <c r="E172" s="40">
        <v>106</v>
      </c>
    </row>
    <row r="173" spans="2:5" x14ac:dyDescent="0.4">
      <c r="B173" s="14"/>
      <c r="C173" s="123" t="s">
        <v>180</v>
      </c>
      <c r="D173" s="65" t="s">
        <v>8</v>
      </c>
      <c r="E173" s="32">
        <v>56</v>
      </c>
    </row>
    <row r="174" spans="2:5" x14ac:dyDescent="0.4">
      <c r="B174" s="25"/>
      <c r="C174" s="123" t="s">
        <v>181</v>
      </c>
      <c r="D174" s="65" t="s">
        <v>8</v>
      </c>
      <c r="E174" s="32">
        <v>93</v>
      </c>
    </row>
    <row r="175" spans="2:5" ht="25.5" x14ac:dyDescent="0.35">
      <c r="B175" s="18" t="s">
        <v>182</v>
      </c>
      <c r="C175" s="111" t="s">
        <v>183</v>
      </c>
      <c r="D175" s="65" t="s">
        <v>8</v>
      </c>
      <c r="E175" s="32">
        <v>28</v>
      </c>
    </row>
    <row r="176" spans="2:5" ht="25.5" x14ac:dyDescent="0.35">
      <c r="B176" s="21" t="s">
        <v>379</v>
      </c>
      <c r="C176" s="111" t="s">
        <v>184</v>
      </c>
      <c r="D176" s="65" t="s">
        <v>8</v>
      </c>
      <c r="E176" s="32">
        <v>75</v>
      </c>
    </row>
    <row r="177" spans="2:5" ht="25.5" x14ac:dyDescent="0.35">
      <c r="B177" s="21">
        <f>SUM(E173:E179)</f>
        <v>490</v>
      </c>
      <c r="C177" s="111" t="s">
        <v>185</v>
      </c>
      <c r="D177" s="65" t="s">
        <v>8</v>
      </c>
      <c r="E177" s="32">
        <v>54</v>
      </c>
    </row>
    <row r="178" spans="2:5" ht="25.5" x14ac:dyDescent="0.35">
      <c r="B178" s="21"/>
      <c r="C178" s="111" t="s">
        <v>182</v>
      </c>
      <c r="D178" s="65" t="s">
        <v>8</v>
      </c>
      <c r="E178" s="32">
        <v>144</v>
      </c>
    </row>
    <row r="179" spans="2:5" thickBot="1" x14ac:dyDescent="0.4">
      <c r="B179" s="21"/>
      <c r="C179" s="115" t="s">
        <v>186</v>
      </c>
      <c r="D179" s="101" t="s">
        <v>22</v>
      </c>
      <c r="E179" s="47">
        <v>40</v>
      </c>
    </row>
    <row r="180" spans="2:5" x14ac:dyDescent="0.4">
      <c r="B180" s="14"/>
      <c r="C180" s="129" t="s">
        <v>187</v>
      </c>
      <c r="D180" s="66" t="s">
        <v>22</v>
      </c>
      <c r="E180" s="38">
        <v>33</v>
      </c>
    </row>
    <row r="181" spans="2:5" ht="25.5" x14ac:dyDescent="0.35">
      <c r="B181" s="18" t="s">
        <v>188</v>
      </c>
      <c r="C181" s="119" t="s">
        <v>189</v>
      </c>
      <c r="D181" s="66" t="s">
        <v>22</v>
      </c>
      <c r="E181" s="38">
        <v>46</v>
      </c>
    </row>
    <row r="182" spans="2:5" ht="25.5" x14ac:dyDescent="0.35">
      <c r="B182" s="124" t="s">
        <v>380</v>
      </c>
      <c r="C182" s="111" t="s">
        <v>188</v>
      </c>
      <c r="D182" s="65" t="s">
        <v>8</v>
      </c>
      <c r="E182" s="32">
        <v>255</v>
      </c>
    </row>
    <row r="183" spans="2:5" ht="25.5" x14ac:dyDescent="0.35">
      <c r="B183" s="54">
        <f>SUM(E180+E181+E182+E183+E184)</f>
        <v>428</v>
      </c>
      <c r="C183" s="36" t="s">
        <v>190</v>
      </c>
      <c r="D183" s="45" t="s">
        <v>22</v>
      </c>
      <c r="E183" s="38">
        <v>11</v>
      </c>
    </row>
    <row r="184" spans="2:5" thickBot="1" x14ac:dyDescent="0.4">
      <c r="B184" s="130"/>
      <c r="C184" s="126" t="s">
        <v>191</v>
      </c>
      <c r="D184" s="73" t="s">
        <v>8</v>
      </c>
      <c r="E184" s="40">
        <v>83</v>
      </c>
    </row>
    <row r="185" spans="2:5" x14ac:dyDescent="0.4">
      <c r="E185" s="75">
        <f>SUM(E125:E184)</f>
        <v>5771</v>
      </c>
    </row>
    <row r="186" spans="2:5" x14ac:dyDescent="0.4">
      <c r="B186" s="76" t="s">
        <v>192</v>
      </c>
      <c r="C186" s="77" t="s">
        <v>63</v>
      </c>
      <c r="D186" s="78">
        <v>42</v>
      </c>
      <c r="E186" s="79"/>
    </row>
    <row r="187" spans="2:5" x14ac:dyDescent="0.4">
      <c r="B187" s="76"/>
      <c r="C187" s="77" t="s">
        <v>64</v>
      </c>
      <c r="D187" s="78">
        <v>19</v>
      </c>
      <c r="E187" s="79"/>
    </row>
    <row r="188" spans="2:5" x14ac:dyDescent="0.4">
      <c r="B188" s="4"/>
      <c r="C188" s="77" t="s">
        <v>127</v>
      </c>
      <c r="D188" s="80">
        <f>SUM(E125:E184)</f>
        <v>5771</v>
      </c>
      <c r="E188" s="79"/>
    </row>
    <row r="189" spans="2:5" x14ac:dyDescent="0.4">
      <c r="E189" s="79"/>
    </row>
    <row r="190" spans="2:5" ht="25.5" x14ac:dyDescent="0.25">
      <c r="B190" s="218" t="s">
        <v>193</v>
      </c>
      <c r="C190" s="218"/>
      <c r="D190" s="218"/>
      <c r="E190" s="218"/>
    </row>
    <row r="191" spans="2:5" thickBot="1" x14ac:dyDescent="0.4">
      <c r="B191" s="10"/>
      <c r="C191" s="82" t="s">
        <v>4</v>
      </c>
      <c r="D191" s="105" t="s">
        <v>5</v>
      </c>
      <c r="E191" s="13" t="s">
        <v>6</v>
      </c>
    </row>
    <row r="192" spans="2:5" x14ac:dyDescent="0.4">
      <c r="B192" s="14"/>
      <c r="C192" s="123" t="s">
        <v>194</v>
      </c>
      <c r="D192" s="107" t="s">
        <v>8</v>
      </c>
      <c r="E192" s="108">
        <v>180</v>
      </c>
    </row>
    <row r="193" spans="2:5" x14ac:dyDescent="0.4">
      <c r="B193" s="25"/>
      <c r="C193" s="115" t="s">
        <v>195</v>
      </c>
      <c r="D193" s="66" t="s">
        <v>22</v>
      </c>
      <c r="E193" s="38">
        <v>64</v>
      </c>
    </row>
    <row r="194" spans="2:5" x14ac:dyDescent="0.4">
      <c r="B194" s="25"/>
      <c r="C194" s="111" t="s">
        <v>196</v>
      </c>
      <c r="D194" s="65" t="s">
        <v>8</v>
      </c>
      <c r="E194" s="32">
        <v>145</v>
      </c>
    </row>
    <row r="195" spans="2:5" ht="25.5" x14ac:dyDescent="0.35">
      <c r="B195" s="18" t="s">
        <v>194</v>
      </c>
      <c r="C195" s="115" t="s">
        <v>197</v>
      </c>
      <c r="D195" s="66" t="s">
        <v>22</v>
      </c>
      <c r="E195" s="38">
        <v>93</v>
      </c>
    </row>
    <row r="196" spans="2:5" ht="25.5" x14ac:dyDescent="0.35">
      <c r="B196" s="21" t="s">
        <v>396</v>
      </c>
      <c r="C196" s="111" t="s">
        <v>199</v>
      </c>
      <c r="D196" s="65" t="s">
        <v>8</v>
      </c>
      <c r="E196" s="32">
        <v>60</v>
      </c>
    </row>
    <row r="197" spans="2:5" ht="25.5" x14ac:dyDescent="0.35">
      <c r="B197" s="21">
        <f>SUM(E192:E199)</f>
        <v>734</v>
      </c>
      <c r="C197" s="112" t="s">
        <v>200</v>
      </c>
      <c r="D197" s="113" t="s">
        <v>8</v>
      </c>
      <c r="E197" s="35">
        <v>72</v>
      </c>
    </row>
    <row r="198" spans="2:5" ht="25.5" x14ac:dyDescent="0.35">
      <c r="B198" s="21"/>
      <c r="C198" s="111" t="s">
        <v>201</v>
      </c>
      <c r="D198" s="65" t="s">
        <v>8</v>
      </c>
      <c r="E198" s="32">
        <v>64</v>
      </c>
    </row>
    <row r="199" spans="2:5" thickBot="1" x14ac:dyDescent="0.4">
      <c r="B199" s="28"/>
      <c r="C199" s="114" t="s">
        <v>202</v>
      </c>
      <c r="D199" s="73" t="s">
        <v>8</v>
      </c>
      <c r="E199" s="40">
        <v>56</v>
      </c>
    </row>
    <row r="200" spans="2:5" ht="25.5" x14ac:dyDescent="0.35">
      <c r="B200" s="18"/>
      <c r="C200" s="123" t="s">
        <v>203</v>
      </c>
      <c r="D200" s="65" t="s">
        <v>8</v>
      </c>
      <c r="E200" s="32">
        <v>34</v>
      </c>
    </row>
    <row r="201" spans="2:5" ht="25.5" x14ac:dyDescent="0.35">
      <c r="B201" s="18"/>
      <c r="C201" s="111" t="s">
        <v>204</v>
      </c>
      <c r="D201" s="65" t="s">
        <v>8</v>
      </c>
      <c r="E201" s="35">
        <v>138</v>
      </c>
    </row>
    <row r="202" spans="2:5" ht="25.5" x14ac:dyDescent="0.35">
      <c r="B202" s="18" t="s">
        <v>205</v>
      </c>
      <c r="C202" s="111" t="s">
        <v>206</v>
      </c>
      <c r="D202" s="65" t="s">
        <v>8</v>
      </c>
      <c r="E202" s="32">
        <v>152</v>
      </c>
    </row>
    <row r="203" spans="2:5" ht="25.5" x14ac:dyDescent="0.35">
      <c r="B203" s="21" t="s">
        <v>139</v>
      </c>
      <c r="C203" s="111" t="s">
        <v>208</v>
      </c>
      <c r="D203" s="65" t="s">
        <v>8</v>
      </c>
      <c r="E203" s="32">
        <v>140</v>
      </c>
    </row>
    <row r="204" spans="2:5" ht="25.5" x14ac:dyDescent="0.35">
      <c r="B204" s="21">
        <f>SUM(E200:E205)</f>
        <v>577</v>
      </c>
      <c r="C204" s="111" t="s">
        <v>209</v>
      </c>
      <c r="D204" s="65" t="s">
        <v>8</v>
      </c>
      <c r="E204" s="32">
        <v>73</v>
      </c>
    </row>
    <row r="205" spans="2:5" thickBot="1" x14ac:dyDescent="0.4">
      <c r="B205" s="55"/>
      <c r="C205" s="117" t="s">
        <v>210</v>
      </c>
      <c r="D205" s="96" t="s">
        <v>22</v>
      </c>
      <c r="E205" s="47">
        <v>40</v>
      </c>
    </row>
    <row r="206" spans="2:5" ht="25.5" x14ac:dyDescent="0.35">
      <c r="B206" s="103"/>
      <c r="C206" s="123" t="s">
        <v>211</v>
      </c>
      <c r="D206" s="65" t="s">
        <v>8</v>
      </c>
      <c r="E206" s="32">
        <v>112</v>
      </c>
    </row>
    <row r="207" spans="2:5" ht="25.5" x14ac:dyDescent="0.35">
      <c r="B207" s="18" t="s">
        <v>212</v>
      </c>
      <c r="C207" s="119" t="s">
        <v>213</v>
      </c>
      <c r="D207" s="66" t="s">
        <v>22</v>
      </c>
      <c r="E207" s="38">
        <v>17</v>
      </c>
    </row>
    <row r="208" spans="2:5" ht="25.5" x14ac:dyDescent="0.35">
      <c r="B208" s="21" t="s">
        <v>393</v>
      </c>
      <c r="C208" s="123" t="s">
        <v>214</v>
      </c>
      <c r="D208" s="65" t="s">
        <v>8</v>
      </c>
      <c r="E208" s="32">
        <v>38</v>
      </c>
    </row>
    <row r="209" spans="2:5" ht="25.5" x14ac:dyDescent="0.35">
      <c r="B209" s="21">
        <f>SUM(E206:E211)</f>
        <v>384</v>
      </c>
      <c r="C209" s="116" t="s">
        <v>215</v>
      </c>
      <c r="D209" s="113" t="s">
        <v>8</v>
      </c>
      <c r="E209" s="35">
        <v>68</v>
      </c>
    </row>
    <row r="210" spans="2:5" ht="25.5" x14ac:dyDescent="0.35">
      <c r="B210" s="21"/>
      <c r="C210" s="123" t="s">
        <v>212</v>
      </c>
      <c r="D210" s="65" t="s">
        <v>8</v>
      </c>
      <c r="E210" s="32">
        <v>107</v>
      </c>
    </row>
    <row r="211" spans="2:5" thickBot="1" x14ac:dyDescent="0.4">
      <c r="B211" s="28"/>
      <c r="C211" s="72" t="s">
        <v>216</v>
      </c>
      <c r="D211" s="102" t="s">
        <v>8</v>
      </c>
      <c r="E211" s="40">
        <v>42</v>
      </c>
    </row>
    <row r="212" spans="2:5" x14ac:dyDescent="0.4">
      <c r="B212" s="25"/>
      <c r="C212" s="123" t="s">
        <v>217</v>
      </c>
      <c r="D212" s="65" t="s">
        <v>8</v>
      </c>
      <c r="E212" s="32">
        <v>48</v>
      </c>
    </row>
    <row r="213" spans="2:5" x14ac:dyDescent="0.4">
      <c r="B213" s="25"/>
      <c r="C213" s="123" t="s">
        <v>218</v>
      </c>
      <c r="D213" s="65" t="s">
        <v>8</v>
      </c>
      <c r="E213" s="32">
        <v>65</v>
      </c>
    </row>
    <row r="214" spans="2:5" ht="25.5" x14ac:dyDescent="0.35">
      <c r="B214" s="18"/>
      <c r="C214" s="111" t="s">
        <v>219</v>
      </c>
      <c r="D214" s="65" t="s">
        <v>8</v>
      </c>
      <c r="E214" s="32">
        <v>69</v>
      </c>
    </row>
    <row r="215" spans="2:5" ht="25.5" x14ac:dyDescent="0.35">
      <c r="B215" s="18" t="s">
        <v>221</v>
      </c>
      <c r="C215" s="115" t="s">
        <v>220</v>
      </c>
      <c r="D215" s="66" t="s">
        <v>22</v>
      </c>
      <c r="E215" s="38">
        <v>78</v>
      </c>
    </row>
    <row r="216" spans="2:5" ht="25.5" x14ac:dyDescent="0.35">
      <c r="B216" s="21" t="s">
        <v>381</v>
      </c>
      <c r="C216" s="111" t="s">
        <v>221</v>
      </c>
      <c r="D216" s="65" t="s">
        <v>8</v>
      </c>
      <c r="E216" s="32">
        <v>218</v>
      </c>
    </row>
    <row r="217" spans="2:5" ht="25.5" x14ac:dyDescent="0.35">
      <c r="B217" s="21">
        <f>SUM(E212:E218)</f>
        <v>607</v>
      </c>
      <c r="C217" s="112" t="s">
        <v>222</v>
      </c>
      <c r="D217" s="113" t="s">
        <v>8</v>
      </c>
      <c r="E217" s="35">
        <v>66</v>
      </c>
    </row>
    <row r="218" spans="2:5" thickBot="1" x14ac:dyDescent="0.4">
      <c r="B218" s="28"/>
      <c r="C218" s="114" t="s">
        <v>223</v>
      </c>
      <c r="D218" s="73" t="s">
        <v>8</v>
      </c>
      <c r="E218" s="40">
        <v>63</v>
      </c>
    </row>
    <row r="219" spans="2:5" x14ac:dyDescent="0.4">
      <c r="B219" s="14"/>
      <c r="C219" s="131" t="s">
        <v>224</v>
      </c>
      <c r="D219" s="128" t="s">
        <v>22</v>
      </c>
      <c r="E219" s="38">
        <v>35</v>
      </c>
    </row>
    <row r="220" spans="2:5" ht="25.5" x14ac:dyDescent="0.35">
      <c r="B220" s="18" t="s">
        <v>225</v>
      </c>
      <c r="C220" s="111" t="s">
        <v>225</v>
      </c>
      <c r="D220" s="65" t="s">
        <v>8</v>
      </c>
      <c r="E220" s="32">
        <v>493</v>
      </c>
    </row>
    <row r="221" spans="2:5" ht="25.5" x14ac:dyDescent="0.35">
      <c r="B221" s="199" t="s">
        <v>226</v>
      </c>
      <c r="C221" s="111" t="s">
        <v>227</v>
      </c>
      <c r="D221" s="65" t="s">
        <v>8</v>
      </c>
      <c r="E221" s="32">
        <v>154</v>
      </c>
    </row>
    <row r="222" spans="2:5" ht="25.5" x14ac:dyDescent="0.35">
      <c r="B222" s="21">
        <f>SUM(E219:E223)</f>
        <v>863</v>
      </c>
      <c r="C222" s="111" t="s">
        <v>228</v>
      </c>
      <c r="D222" s="65" t="s">
        <v>8</v>
      </c>
      <c r="E222" s="32">
        <v>85</v>
      </c>
    </row>
    <row r="223" spans="2:5" thickBot="1" x14ac:dyDescent="0.4">
      <c r="B223" s="21"/>
      <c r="C223" s="111" t="s">
        <v>229</v>
      </c>
      <c r="D223" s="65" t="s">
        <v>8</v>
      </c>
      <c r="E223" s="40">
        <v>96</v>
      </c>
    </row>
    <row r="224" spans="2:5" x14ac:dyDescent="0.4">
      <c r="B224" s="14"/>
      <c r="C224" s="132" t="s">
        <v>230</v>
      </c>
      <c r="D224" s="107" t="s">
        <v>8</v>
      </c>
      <c r="E224" s="32">
        <v>60</v>
      </c>
    </row>
    <row r="225" spans="2:5" x14ac:dyDescent="0.4">
      <c r="B225" s="25"/>
      <c r="C225" s="123" t="s">
        <v>231</v>
      </c>
      <c r="D225" s="65" t="s">
        <v>8</v>
      </c>
      <c r="E225" s="32">
        <v>47</v>
      </c>
    </row>
    <row r="226" spans="2:5" ht="25.5" x14ac:dyDescent="0.35">
      <c r="B226" s="51" t="s">
        <v>232</v>
      </c>
      <c r="C226" s="111" t="s">
        <v>233</v>
      </c>
      <c r="D226" s="65" t="s">
        <v>8</v>
      </c>
      <c r="E226" s="32">
        <v>62</v>
      </c>
    </row>
    <row r="227" spans="2:5" ht="25.5" x14ac:dyDescent="0.35">
      <c r="B227" s="21" t="s">
        <v>341</v>
      </c>
      <c r="C227" s="111" t="s">
        <v>234</v>
      </c>
      <c r="D227" s="65" t="s">
        <v>8</v>
      </c>
      <c r="E227" s="32">
        <v>70</v>
      </c>
    </row>
    <row r="228" spans="2:5" ht="25.5" x14ac:dyDescent="0.35">
      <c r="B228" s="21">
        <f>SUM(E224:E229)</f>
        <v>405</v>
      </c>
      <c r="C228" s="111" t="s">
        <v>232</v>
      </c>
      <c r="D228" s="65" t="s">
        <v>8</v>
      </c>
      <c r="E228" s="32">
        <v>85</v>
      </c>
    </row>
    <row r="229" spans="2:5" thickBot="1" x14ac:dyDescent="0.4">
      <c r="B229" s="28"/>
      <c r="C229" s="114" t="s">
        <v>235</v>
      </c>
      <c r="D229" s="73" t="s">
        <v>8</v>
      </c>
      <c r="E229" s="40">
        <v>81</v>
      </c>
    </row>
    <row r="230" spans="2:5" x14ac:dyDescent="0.4">
      <c r="B230" s="25"/>
      <c r="C230" s="115" t="s">
        <v>236</v>
      </c>
      <c r="D230" s="66" t="s">
        <v>22</v>
      </c>
      <c r="E230" s="38">
        <v>63</v>
      </c>
    </row>
    <row r="231" spans="2:5" x14ac:dyDescent="0.4">
      <c r="B231" s="25"/>
      <c r="C231" s="115" t="s">
        <v>237</v>
      </c>
      <c r="D231" s="66" t="s">
        <v>22</v>
      </c>
      <c r="E231" s="38">
        <v>34</v>
      </c>
    </row>
    <row r="232" spans="2:5" ht="25.5" x14ac:dyDescent="0.35">
      <c r="B232" s="51" t="s">
        <v>238</v>
      </c>
      <c r="C232" s="111" t="s">
        <v>239</v>
      </c>
      <c r="D232" s="65" t="s">
        <v>8</v>
      </c>
      <c r="E232" s="32">
        <v>44</v>
      </c>
    </row>
    <row r="233" spans="2:5" ht="25.5" x14ac:dyDescent="0.35">
      <c r="B233" s="196" t="s">
        <v>240</v>
      </c>
      <c r="C233" s="111" t="s">
        <v>241</v>
      </c>
      <c r="D233" s="65" t="s">
        <v>8</v>
      </c>
      <c r="E233" s="32">
        <v>53</v>
      </c>
    </row>
    <row r="234" spans="2:5" ht="25.5" x14ac:dyDescent="0.35">
      <c r="B234" s="21">
        <f>SUM(E230:E236)</f>
        <v>560</v>
      </c>
      <c r="C234" s="111" t="s">
        <v>242</v>
      </c>
      <c r="D234" s="65" t="s">
        <v>8</v>
      </c>
      <c r="E234" s="32">
        <v>120</v>
      </c>
    </row>
    <row r="235" spans="2:5" ht="25.5" x14ac:dyDescent="0.35">
      <c r="B235" s="21"/>
      <c r="C235" s="111" t="s">
        <v>243</v>
      </c>
      <c r="D235" s="65" t="s">
        <v>8</v>
      </c>
      <c r="E235" s="32">
        <v>28</v>
      </c>
    </row>
    <row r="236" spans="2:5" thickBot="1" x14ac:dyDescent="0.4">
      <c r="B236" s="28"/>
      <c r="C236" s="114" t="s">
        <v>238</v>
      </c>
      <c r="D236" s="73" t="s">
        <v>8</v>
      </c>
      <c r="E236" s="40">
        <v>218</v>
      </c>
    </row>
    <row r="237" spans="2:5" x14ac:dyDescent="0.4">
      <c r="E237" s="75"/>
    </row>
    <row r="238" spans="2:5" x14ac:dyDescent="0.4">
      <c r="B238" s="76" t="s">
        <v>244</v>
      </c>
      <c r="C238" s="77" t="s">
        <v>63</v>
      </c>
      <c r="D238" s="78">
        <v>37</v>
      </c>
      <c r="E238" s="79"/>
    </row>
    <row r="239" spans="2:5" x14ac:dyDescent="0.4">
      <c r="B239" s="76"/>
      <c r="C239" s="77" t="s">
        <v>64</v>
      </c>
      <c r="D239" s="78">
        <v>9</v>
      </c>
      <c r="E239" s="79"/>
    </row>
    <row r="240" spans="2:5" x14ac:dyDescent="0.4">
      <c r="B240" s="4"/>
      <c r="C240" s="77" t="s">
        <v>127</v>
      </c>
      <c r="D240" s="80">
        <f>SUM(E192:E236)</f>
        <v>4130</v>
      </c>
      <c r="E240" s="79"/>
    </row>
    <row r="241" spans="2:5" x14ac:dyDescent="0.4">
      <c r="E241" s="79"/>
    </row>
    <row r="242" spans="2:5" ht="25.5" x14ac:dyDescent="0.25">
      <c r="B242" s="218" t="s">
        <v>245</v>
      </c>
      <c r="C242" s="218"/>
      <c r="D242" s="218"/>
      <c r="E242" s="218"/>
    </row>
    <row r="243" spans="2:5" thickBot="1" x14ac:dyDescent="0.4">
      <c r="B243" s="10"/>
      <c r="C243" s="82" t="s">
        <v>4</v>
      </c>
      <c r="D243" s="12" t="s">
        <v>5</v>
      </c>
      <c r="E243" s="13" t="s">
        <v>6</v>
      </c>
    </row>
    <row r="244" spans="2:5" thickBot="1" x14ac:dyDescent="0.4">
      <c r="B244" s="4"/>
      <c r="C244" s="133"/>
      <c r="D244" s="8"/>
      <c r="E244" s="9"/>
    </row>
    <row r="245" spans="2:5" ht="25.5" x14ac:dyDescent="0.35">
      <c r="B245" s="41"/>
      <c r="C245" s="42"/>
      <c r="D245" s="43"/>
      <c r="E245" s="43"/>
    </row>
    <row r="246" spans="2:5" ht="25.5" x14ac:dyDescent="0.35">
      <c r="B246" s="18" t="s">
        <v>246</v>
      </c>
      <c r="C246" s="22" t="s">
        <v>246</v>
      </c>
      <c r="D246" s="134" t="s">
        <v>8</v>
      </c>
      <c r="E246" s="134">
        <v>842</v>
      </c>
    </row>
    <row r="247" spans="2:5" ht="25.5" x14ac:dyDescent="0.35">
      <c r="B247" s="196" t="s">
        <v>391</v>
      </c>
      <c r="C247" s="135" t="s">
        <v>247</v>
      </c>
      <c r="D247" s="45" t="s">
        <v>22</v>
      </c>
      <c r="E247" s="136">
        <v>65</v>
      </c>
    </row>
    <row r="248" spans="2:5" thickBot="1" x14ac:dyDescent="0.4">
      <c r="B248" s="28">
        <f>SUM(E246:E247)</f>
        <v>907</v>
      </c>
      <c r="C248" s="114"/>
      <c r="D248" s="102"/>
      <c r="E248" s="137"/>
    </row>
    <row r="249" spans="2:5" ht="25.5" x14ac:dyDescent="0.35">
      <c r="B249" s="41"/>
      <c r="C249" s="129" t="s">
        <v>248</v>
      </c>
      <c r="D249" s="37" t="s">
        <v>22</v>
      </c>
      <c r="E249" s="38">
        <v>44</v>
      </c>
    </row>
    <row r="250" spans="2:5" ht="25.5" x14ac:dyDescent="0.35">
      <c r="B250" s="51" t="s">
        <v>249</v>
      </c>
      <c r="C250" s="19" t="s">
        <v>249</v>
      </c>
      <c r="D250" s="16" t="s">
        <v>8</v>
      </c>
      <c r="E250" s="32">
        <v>268</v>
      </c>
    </row>
    <row r="251" spans="2:5" ht="25.5" x14ac:dyDescent="0.35">
      <c r="B251" s="125" t="s">
        <v>250</v>
      </c>
      <c r="C251" s="52" t="s">
        <v>251</v>
      </c>
      <c r="D251" s="53" t="s">
        <v>8</v>
      </c>
      <c r="E251" s="99">
        <v>81</v>
      </c>
    </row>
    <row r="252" spans="2:5" ht="25.5" x14ac:dyDescent="0.35">
      <c r="B252" s="21">
        <f>SUM(E249:E253)</f>
        <v>620</v>
      </c>
      <c r="C252" s="19" t="s">
        <v>252</v>
      </c>
      <c r="D252" s="16" t="s">
        <v>8</v>
      </c>
      <c r="E252" s="32">
        <v>149</v>
      </c>
    </row>
    <row r="253" spans="2:5" thickBot="1" x14ac:dyDescent="0.4">
      <c r="B253" s="28"/>
      <c r="C253" s="68" t="s">
        <v>253</v>
      </c>
      <c r="D253" s="69" t="s">
        <v>8</v>
      </c>
      <c r="E253" s="70">
        <v>78</v>
      </c>
    </row>
    <row r="254" spans="2:5" ht="25.5" x14ac:dyDescent="0.35">
      <c r="B254" s="97" t="s">
        <v>254</v>
      </c>
      <c r="C254" s="111" t="s">
        <v>254</v>
      </c>
      <c r="D254" s="65" t="s">
        <v>8</v>
      </c>
      <c r="E254" s="32">
        <v>430</v>
      </c>
    </row>
    <row r="255" spans="2:5" ht="25.5" x14ac:dyDescent="0.35">
      <c r="B255" s="21" t="s">
        <v>255</v>
      </c>
      <c r="C255" s="138" t="s">
        <v>256</v>
      </c>
      <c r="D255" s="16" t="s">
        <v>8</v>
      </c>
      <c r="E255" s="35">
        <v>153</v>
      </c>
    </row>
    <row r="256" spans="2:5" ht="25.5" x14ac:dyDescent="0.35">
      <c r="B256" s="139">
        <f>SUM(E254:E258)</f>
        <v>863</v>
      </c>
      <c r="C256" s="140" t="s">
        <v>257</v>
      </c>
      <c r="D256" s="37" t="s">
        <v>22</v>
      </c>
      <c r="E256" s="38">
        <v>77</v>
      </c>
    </row>
    <row r="257" spans="2:5" ht="25.5" x14ac:dyDescent="0.35">
      <c r="B257" s="139"/>
      <c r="C257" s="138" t="s">
        <v>258</v>
      </c>
      <c r="D257" s="16" t="s">
        <v>8</v>
      </c>
      <c r="E257" s="35">
        <v>85</v>
      </c>
    </row>
    <row r="258" spans="2:5" thickBot="1" x14ac:dyDescent="0.4">
      <c r="B258" s="141"/>
      <c r="C258" s="142" t="s">
        <v>259</v>
      </c>
      <c r="D258" s="143" t="s">
        <v>8</v>
      </c>
      <c r="E258" s="70">
        <v>118</v>
      </c>
    </row>
    <row r="259" spans="2:5" ht="25.5" x14ac:dyDescent="0.35">
      <c r="B259" s="18" t="s">
        <v>260</v>
      </c>
      <c r="C259" s="119"/>
      <c r="D259" s="66"/>
      <c r="E259" s="35"/>
    </row>
    <row r="260" spans="2:5" ht="25.5" x14ac:dyDescent="0.35">
      <c r="B260" s="144" t="s">
        <v>382</v>
      </c>
      <c r="C260" s="119" t="s">
        <v>261</v>
      </c>
      <c r="D260" s="66" t="s">
        <v>22</v>
      </c>
      <c r="E260" s="38">
        <v>80</v>
      </c>
    </row>
    <row r="261" spans="2:5" thickBot="1" x14ac:dyDescent="0.4">
      <c r="B261" s="145">
        <f>SUM(E260+E261)</f>
        <v>211</v>
      </c>
      <c r="C261" s="146" t="s">
        <v>260</v>
      </c>
      <c r="D261" s="30" t="s">
        <v>8</v>
      </c>
      <c r="E261" s="70">
        <v>131</v>
      </c>
    </row>
    <row r="262" spans="2:5" ht="25.5" x14ac:dyDescent="0.35">
      <c r="B262" s="18"/>
      <c r="C262" s="33" t="s">
        <v>262</v>
      </c>
      <c r="D262" s="34" t="s">
        <v>8</v>
      </c>
      <c r="E262" s="35">
        <v>156</v>
      </c>
    </row>
    <row r="263" spans="2:5" ht="25.5" x14ac:dyDescent="0.35">
      <c r="B263" s="18" t="s">
        <v>263</v>
      </c>
      <c r="C263" s="116" t="s">
        <v>264</v>
      </c>
      <c r="D263" s="113" t="s">
        <v>8</v>
      </c>
      <c r="E263" s="35">
        <v>105</v>
      </c>
    </row>
    <row r="264" spans="2:5" ht="25.5" x14ac:dyDescent="0.35">
      <c r="B264" s="144" t="s">
        <v>389</v>
      </c>
      <c r="C264" s="116" t="s">
        <v>265</v>
      </c>
      <c r="D264" s="113" t="s">
        <v>8</v>
      </c>
      <c r="E264" s="35">
        <v>140</v>
      </c>
    </row>
    <row r="265" spans="2:5" thickBot="1" x14ac:dyDescent="0.4">
      <c r="B265" s="145">
        <f>SUM(E262:E265)</f>
        <v>733</v>
      </c>
      <c r="C265" s="146" t="s">
        <v>263</v>
      </c>
      <c r="D265" s="30" t="s">
        <v>8</v>
      </c>
      <c r="E265" s="70">
        <v>332</v>
      </c>
    </row>
    <row r="266" spans="2:5" x14ac:dyDescent="0.4">
      <c r="E266" s="75"/>
    </row>
    <row r="267" spans="2:5" x14ac:dyDescent="0.4">
      <c r="B267" s="76" t="s">
        <v>266</v>
      </c>
      <c r="C267" s="77" t="s">
        <v>63</v>
      </c>
      <c r="D267" s="78">
        <v>14</v>
      </c>
      <c r="E267" s="79"/>
    </row>
    <row r="268" spans="2:5" x14ac:dyDescent="0.4">
      <c r="B268" s="76"/>
      <c r="C268" s="77" t="s">
        <v>64</v>
      </c>
      <c r="D268" s="78">
        <v>4</v>
      </c>
      <c r="E268" s="79"/>
    </row>
    <row r="269" spans="2:5" x14ac:dyDescent="0.4">
      <c r="B269" s="4"/>
      <c r="C269" s="77" t="s">
        <v>127</v>
      </c>
      <c r="D269" s="80">
        <f>SUM(E246:E265)</f>
        <v>3334</v>
      </c>
      <c r="E269" s="79"/>
    </row>
    <row r="270" spans="2:5" x14ac:dyDescent="0.4">
      <c r="E270" s="79"/>
    </row>
    <row r="271" spans="2:5" ht="25.5" x14ac:dyDescent="0.25">
      <c r="B271" s="218" t="s">
        <v>267</v>
      </c>
      <c r="C271" s="218"/>
      <c r="D271" s="218"/>
      <c r="E271" s="218"/>
    </row>
    <row r="272" spans="2:5" thickBot="1" x14ac:dyDescent="0.4">
      <c r="B272" s="10"/>
      <c r="C272" s="11" t="s">
        <v>4</v>
      </c>
      <c r="D272" s="105" t="s">
        <v>5</v>
      </c>
      <c r="E272" s="147" t="s">
        <v>6</v>
      </c>
    </row>
    <row r="273" spans="2:5" x14ac:dyDescent="0.4">
      <c r="B273" s="14"/>
      <c r="C273" s="132" t="s">
        <v>268</v>
      </c>
      <c r="D273" s="107" t="s">
        <v>8</v>
      </c>
      <c r="E273" s="32">
        <v>39</v>
      </c>
    </row>
    <row r="274" spans="2:5" ht="25.5" x14ac:dyDescent="0.35">
      <c r="B274" s="18" t="s">
        <v>269</v>
      </c>
      <c r="C274" s="111" t="s">
        <v>270</v>
      </c>
      <c r="D274" s="65" t="s">
        <v>8</v>
      </c>
      <c r="E274" s="32">
        <v>137</v>
      </c>
    </row>
    <row r="275" spans="2:5" ht="25.5" x14ac:dyDescent="0.35">
      <c r="B275" s="21" t="s">
        <v>271</v>
      </c>
      <c r="C275" s="111" t="s">
        <v>269</v>
      </c>
      <c r="D275" s="65" t="s">
        <v>8</v>
      </c>
      <c r="E275" s="32">
        <v>590</v>
      </c>
    </row>
    <row r="276" spans="2:5" thickBot="1" x14ac:dyDescent="0.4">
      <c r="B276" s="28">
        <f>SUM(E273+E274+E275+E276)</f>
        <v>811</v>
      </c>
      <c r="C276" s="95" t="s">
        <v>272</v>
      </c>
      <c r="D276" s="96" t="s">
        <v>22</v>
      </c>
      <c r="E276" s="47">
        <v>45</v>
      </c>
    </row>
    <row r="277" spans="2:5" ht="21" customHeight="1" x14ac:dyDescent="0.4">
      <c r="B277" s="14"/>
      <c r="C277" s="119" t="s">
        <v>273</v>
      </c>
      <c r="D277" s="66" t="s">
        <v>22</v>
      </c>
      <c r="E277" s="38">
        <v>46</v>
      </c>
    </row>
    <row r="278" spans="2:5" ht="21" customHeight="1" x14ac:dyDescent="0.35">
      <c r="B278" s="18" t="s">
        <v>274</v>
      </c>
      <c r="C278" s="111" t="s">
        <v>274</v>
      </c>
      <c r="D278" s="65" t="s">
        <v>8</v>
      </c>
      <c r="E278" s="32">
        <v>336</v>
      </c>
    </row>
    <row r="279" spans="2:5" ht="25.5" x14ac:dyDescent="0.35">
      <c r="B279" s="54" t="s">
        <v>275</v>
      </c>
      <c r="C279" s="111" t="s">
        <v>276</v>
      </c>
      <c r="D279" s="65" t="s">
        <v>8</v>
      </c>
      <c r="E279" s="32">
        <v>71</v>
      </c>
    </row>
    <row r="280" spans="2:5" ht="25.5" x14ac:dyDescent="0.35">
      <c r="B280" s="21">
        <f>SUM(E277:E281)</f>
        <v>560</v>
      </c>
      <c r="C280" s="111" t="s">
        <v>277</v>
      </c>
      <c r="D280" s="23" t="s">
        <v>8</v>
      </c>
      <c r="E280" s="32">
        <v>77</v>
      </c>
    </row>
    <row r="281" spans="2:5" thickBot="1" x14ac:dyDescent="0.4">
      <c r="B281" s="28"/>
      <c r="C281" s="95" t="s">
        <v>278</v>
      </c>
      <c r="D281" s="101" t="s">
        <v>22</v>
      </c>
      <c r="E281" s="47">
        <v>30</v>
      </c>
    </row>
    <row r="282" spans="2:5" ht="25.5" x14ac:dyDescent="0.35">
      <c r="B282" s="21"/>
      <c r="C282" s="26" t="s">
        <v>279</v>
      </c>
      <c r="D282" s="34" t="s">
        <v>8</v>
      </c>
      <c r="E282" s="35">
        <v>85</v>
      </c>
    </row>
    <row r="283" spans="2:5" ht="25.5" x14ac:dyDescent="0.35">
      <c r="B283" s="51" t="s">
        <v>280</v>
      </c>
      <c r="C283" s="22" t="s">
        <v>280</v>
      </c>
      <c r="D283" s="16" t="s">
        <v>8</v>
      </c>
      <c r="E283" s="32">
        <v>276</v>
      </c>
    </row>
    <row r="284" spans="2:5" ht="25.5" x14ac:dyDescent="0.35">
      <c r="B284" s="21" t="s">
        <v>198</v>
      </c>
      <c r="C284" s="22" t="s">
        <v>282</v>
      </c>
      <c r="D284" s="16" t="s">
        <v>8</v>
      </c>
      <c r="E284" s="32">
        <v>144</v>
      </c>
    </row>
    <row r="285" spans="2:5" ht="25.5" x14ac:dyDescent="0.35">
      <c r="B285" s="21">
        <f>SUM(E282:E286)</f>
        <v>634</v>
      </c>
      <c r="C285" s="148" t="s">
        <v>283</v>
      </c>
      <c r="D285" s="149" t="s">
        <v>8</v>
      </c>
      <c r="E285" s="32">
        <v>82</v>
      </c>
    </row>
    <row r="286" spans="2:5" thickBot="1" x14ac:dyDescent="0.4">
      <c r="B286" s="28"/>
      <c r="C286" s="150" t="s">
        <v>284</v>
      </c>
      <c r="D286" s="151" t="s">
        <v>22</v>
      </c>
      <c r="E286" s="47">
        <v>47</v>
      </c>
    </row>
    <row r="287" spans="2:5" ht="25.5" x14ac:dyDescent="0.35">
      <c r="B287" s="18" t="s">
        <v>285</v>
      </c>
      <c r="C287" s="111" t="s">
        <v>285</v>
      </c>
      <c r="D287" s="65" t="s">
        <v>8</v>
      </c>
      <c r="E287" s="32">
        <v>269</v>
      </c>
    </row>
    <row r="288" spans="2:5" ht="25.5" x14ac:dyDescent="0.35">
      <c r="B288" s="197" t="s">
        <v>286</v>
      </c>
      <c r="C288" s="111" t="s">
        <v>287</v>
      </c>
      <c r="D288" s="65" t="s">
        <v>8</v>
      </c>
      <c r="E288" s="32">
        <v>54</v>
      </c>
    </row>
    <row r="289" spans="2:5" ht="25.5" x14ac:dyDescent="0.35">
      <c r="B289" s="21">
        <f>SUM(E287:E290)</f>
        <v>503</v>
      </c>
      <c r="C289" s="111" t="s">
        <v>288</v>
      </c>
      <c r="D289" s="65" t="s">
        <v>8</v>
      </c>
      <c r="E289" s="32">
        <v>112</v>
      </c>
    </row>
    <row r="290" spans="2:5" thickBot="1" x14ac:dyDescent="0.4">
      <c r="B290" s="28"/>
      <c r="C290" s="93" t="s">
        <v>289</v>
      </c>
      <c r="D290" s="73" t="s">
        <v>8</v>
      </c>
      <c r="E290" s="40">
        <v>68</v>
      </c>
    </row>
    <row r="291" spans="2:5" x14ac:dyDescent="0.4">
      <c r="B291" s="14"/>
      <c r="C291" s="116" t="s">
        <v>290</v>
      </c>
      <c r="D291" s="113" t="s">
        <v>8</v>
      </c>
      <c r="E291" s="35">
        <v>48</v>
      </c>
    </row>
    <row r="292" spans="2:5" ht="25.5" x14ac:dyDescent="0.35">
      <c r="B292" s="18" t="s">
        <v>291</v>
      </c>
      <c r="C292" s="123" t="s">
        <v>292</v>
      </c>
      <c r="D292" s="65" t="s">
        <v>8</v>
      </c>
      <c r="E292" s="32">
        <v>58</v>
      </c>
    </row>
    <row r="293" spans="2:5" ht="25.5" x14ac:dyDescent="0.35">
      <c r="B293" s="21" t="s">
        <v>281</v>
      </c>
      <c r="C293" s="123" t="s">
        <v>291</v>
      </c>
      <c r="D293" s="65" t="s">
        <v>8</v>
      </c>
      <c r="E293" s="32">
        <v>62</v>
      </c>
    </row>
    <row r="294" spans="2:5" ht="25.5" x14ac:dyDescent="0.35">
      <c r="B294" s="21">
        <f>SUM(E291:E295)</f>
        <v>388</v>
      </c>
      <c r="C294" s="116" t="s">
        <v>293</v>
      </c>
      <c r="D294" s="113" t="s">
        <v>8</v>
      </c>
      <c r="E294" s="35">
        <v>85</v>
      </c>
    </row>
    <row r="295" spans="2:5" thickBot="1" x14ac:dyDescent="0.4">
      <c r="B295" s="28"/>
      <c r="C295" s="126" t="s">
        <v>294</v>
      </c>
      <c r="D295" s="73" t="s">
        <v>8</v>
      </c>
      <c r="E295" s="40">
        <v>135</v>
      </c>
    </row>
    <row r="296" spans="2:5" x14ac:dyDescent="0.4">
      <c r="B296" s="25"/>
      <c r="C296" s="111" t="s">
        <v>295</v>
      </c>
      <c r="D296" s="65" t="s">
        <v>8</v>
      </c>
      <c r="E296" s="32">
        <v>81</v>
      </c>
    </row>
    <row r="297" spans="2:5" ht="25.5" x14ac:dyDescent="0.35">
      <c r="B297" s="18" t="s">
        <v>296</v>
      </c>
      <c r="C297" s="111" t="s">
        <v>297</v>
      </c>
      <c r="D297" s="65" t="s">
        <v>8</v>
      </c>
      <c r="E297" s="32">
        <v>55</v>
      </c>
    </row>
    <row r="298" spans="2:5" ht="25.5" x14ac:dyDescent="0.35">
      <c r="B298" s="21" t="s">
        <v>298</v>
      </c>
      <c r="C298" s="112" t="s">
        <v>299</v>
      </c>
      <c r="D298" s="113" t="s">
        <v>8</v>
      </c>
      <c r="E298" s="35">
        <v>60</v>
      </c>
    </row>
    <row r="299" spans="2:5" ht="25.5" x14ac:dyDescent="0.35">
      <c r="B299" s="21">
        <f>SUM(E296:E300)</f>
        <v>487</v>
      </c>
      <c r="C299" s="112" t="s">
        <v>300</v>
      </c>
      <c r="D299" s="113" t="s">
        <v>8</v>
      </c>
      <c r="E299" s="35">
        <v>65</v>
      </c>
    </row>
    <row r="300" spans="2:5" thickBot="1" x14ac:dyDescent="0.4">
      <c r="B300" s="28"/>
      <c r="C300" s="114" t="s">
        <v>296</v>
      </c>
      <c r="D300" s="73" t="s">
        <v>8</v>
      </c>
      <c r="E300" s="40">
        <v>226</v>
      </c>
    </row>
    <row r="301" spans="2:5" thickBot="1" x14ac:dyDescent="0.4">
      <c r="B301" s="152"/>
      <c r="C301" s="153"/>
      <c r="D301" s="154"/>
      <c r="E301" s="152"/>
    </row>
    <row r="302" spans="2:5" thickBot="1" x14ac:dyDescent="0.4">
      <c r="B302" s="155" t="s">
        <v>301</v>
      </c>
      <c r="C302" s="156" t="s">
        <v>63</v>
      </c>
      <c r="D302" s="157">
        <v>24</v>
      </c>
      <c r="E302" s="158"/>
    </row>
    <row r="303" spans="2:5" thickBot="1" x14ac:dyDescent="0.4">
      <c r="B303" s="155"/>
      <c r="C303" s="159" t="s">
        <v>64</v>
      </c>
      <c r="D303" s="157">
        <v>4</v>
      </c>
      <c r="E303" s="158"/>
    </row>
    <row r="304" spans="2:5" thickBot="1" x14ac:dyDescent="0.4">
      <c r="B304" s="160"/>
      <c r="C304" s="161" t="s">
        <v>127</v>
      </c>
      <c r="D304" s="162">
        <f>SUM(E273:E300)</f>
        <v>3383</v>
      </c>
      <c r="E304" s="163"/>
    </row>
    <row r="305" spans="2:5" ht="25.5" x14ac:dyDescent="0.35">
      <c r="B305" s="4"/>
      <c r="C305" s="77"/>
      <c r="D305" s="164"/>
      <c r="E305" s="165"/>
    </row>
    <row r="306" spans="2:5" x14ac:dyDescent="0.4">
      <c r="B306" s="226" t="s">
        <v>302</v>
      </c>
      <c r="C306" s="227"/>
      <c r="D306" s="227"/>
      <c r="E306" s="228"/>
    </row>
    <row r="307" spans="2:5" thickBot="1" x14ac:dyDescent="0.4">
      <c r="B307" s="4"/>
      <c r="C307" s="11" t="s">
        <v>4</v>
      </c>
      <c r="D307" s="105" t="s">
        <v>5</v>
      </c>
      <c r="E307" s="166" t="s">
        <v>6</v>
      </c>
    </row>
    <row r="308" spans="2:5" x14ac:dyDescent="0.4">
      <c r="B308" s="14"/>
      <c r="C308" s="132" t="s">
        <v>303</v>
      </c>
      <c r="D308" s="107" t="s">
        <v>8</v>
      </c>
      <c r="E308" s="167">
        <v>107</v>
      </c>
    </row>
    <row r="309" spans="2:5" ht="25.5" x14ac:dyDescent="0.35">
      <c r="B309" s="18" t="s">
        <v>303</v>
      </c>
      <c r="C309" s="119" t="s">
        <v>304</v>
      </c>
      <c r="D309" s="66" t="s">
        <v>22</v>
      </c>
      <c r="E309" s="136">
        <v>57</v>
      </c>
    </row>
    <row r="310" spans="2:5" ht="25.5" x14ac:dyDescent="0.35">
      <c r="B310" s="21" t="s">
        <v>383</v>
      </c>
      <c r="C310" s="115" t="s">
        <v>305</v>
      </c>
      <c r="D310" s="66" t="s">
        <v>22</v>
      </c>
      <c r="E310" s="136">
        <v>14</v>
      </c>
    </row>
    <row r="311" spans="2:5" ht="25.5" x14ac:dyDescent="0.35">
      <c r="B311" s="21">
        <f>SUM(E308:E313)</f>
        <v>345</v>
      </c>
      <c r="C311" s="115" t="s">
        <v>306</v>
      </c>
      <c r="D311" s="66" t="s">
        <v>22</v>
      </c>
      <c r="E311" s="136">
        <v>33</v>
      </c>
    </row>
    <row r="312" spans="2:5" ht="25.5" x14ac:dyDescent="0.35">
      <c r="B312" s="21"/>
      <c r="C312" s="111" t="s">
        <v>307</v>
      </c>
      <c r="D312" s="65" t="s">
        <v>8</v>
      </c>
      <c r="E312" s="168">
        <v>83</v>
      </c>
    </row>
    <row r="313" spans="2:5" thickBot="1" x14ac:dyDescent="0.4">
      <c r="B313" s="28"/>
      <c r="C313" s="146" t="s">
        <v>308</v>
      </c>
      <c r="D313" s="30" t="s">
        <v>8</v>
      </c>
      <c r="E313" s="169">
        <v>51</v>
      </c>
    </row>
    <row r="314" spans="2:5" x14ac:dyDescent="0.4">
      <c r="B314" s="25"/>
      <c r="C314" s="132" t="s">
        <v>309</v>
      </c>
      <c r="D314" s="107" t="s">
        <v>8</v>
      </c>
      <c r="E314" s="168">
        <v>228</v>
      </c>
    </row>
    <row r="315" spans="2:5" x14ac:dyDescent="0.4">
      <c r="B315" s="25"/>
      <c r="C315" s="111" t="s">
        <v>310</v>
      </c>
      <c r="D315" s="65" t="s">
        <v>8</v>
      </c>
      <c r="E315" s="168">
        <v>168</v>
      </c>
    </row>
    <row r="316" spans="2:5" x14ac:dyDescent="0.4">
      <c r="B316" s="25"/>
      <c r="C316" s="111" t="s">
        <v>311</v>
      </c>
      <c r="D316" s="65" t="s">
        <v>8</v>
      </c>
      <c r="E316" s="168">
        <v>59</v>
      </c>
    </row>
    <row r="317" spans="2:5" ht="25.5" x14ac:dyDescent="0.35">
      <c r="B317" s="18" t="s">
        <v>309</v>
      </c>
      <c r="C317" s="115" t="s">
        <v>312</v>
      </c>
      <c r="D317" s="66" t="s">
        <v>22</v>
      </c>
      <c r="E317" s="136">
        <v>42</v>
      </c>
    </row>
    <row r="318" spans="2:5" ht="25.5" x14ac:dyDescent="0.35">
      <c r="B318" s="21" t="s">
        <v>390</v>
      </c>
      <c r="C318" s="115" t="s">
        <v>313</v>
      </c>
      <c r="D318" s="66" t="s">
        <v>22</v>
      </c>
      <c r="E318" s="136">
        <v>36</v>
      </c>
    </row>
    <row r="319" spans="2:5" ht="25.5" x14ac:dyDescent="0.35">
      <c r="B319" s="21">
        <f>SUM(E314+E315+E316+E317+E318+E319+E320+E321)</f>
        <v>642</v>
      </c>
      <c r="C319" s="115" t="s">
        <v>314</v>
      </c>
      <c r="D319" s="66" t="s">
        <v>22</v>
      </c>
      <c r="E319" s="136">
        <v>31</v>
      </c>
    </row>
    <row r="320" spans="2:5" ht="25.5" x14ac:dyDescent="0.35">
      <c r="B320" s="21"/>
      <c r="C320" s="115" t="s">
        <v>315</v>
      </c>
      <c r="D320" s="66" t="s">
        <v>22</v>
      </c>
      <c r="E320" s="136">
        <v>24</v>
      </c>
    </row>
    <row r="321" spans="2:5" thickBot="1" x14ac:dyDescent="0.4">
      <c r="B321" s="28"/>
      <c r="C321" s="29" t="s">
        <v>316</v>
      </c>
      <c r="D321" s="170" t="s">
        <v>8</v>
      </c>
      <c r="E321" s="169">
        <v>54</v>
      </c>
    </row>
    <row r="322" spans="2:5" ht="25.5" x14ac:dyDescent="0.35">
      <c r="B322" s="51" t="s">
        <v>317</v>
      </c>
      <c r="C322" s="112"/>
      <c r="D322" s="113"/>
      <c r="E322" s="171"/>
    </row>
    <row r="323" spans="2:5" ht="25.5" x14ac:dyDescent="0.35">
      <c r="B323" s="21" t="s">
        <v>318</v>
      </c>
      <c r="C323" s="112" t="s">
        <v>317</v>
      </c>
      <c r="D323" s="113" t="s">
        <v>8</v>
      </c>
      <c r="E323" s="171">
        <v>145</v>
      </c>
    </row>
    <row r="324" spans="2:5" thickBot="1" x14ac:dyDescent="0.4">
      <c r="B324" s="28">
        <f>SUM(E323)</f>
        <v>145</v>
      </c>
      <c r="C324" s="112"/>
      <c r="D324" s="170"/>
      <c r="E324" s="169"/>
    </row>
    <row r="325" spans="2:5" x14ac:dyDescent="0.4">
      <c r="B325" s="25"/>
      <c r="C325" s="106" t="s">
        <v>319</v>
      </c>
      <c r="D325" s="65" t="s">
        <v>8</v>
      </c>
      <c r="E325" s="168">
        <v>88</v>
      </c>
    </row>
    <row r="326" spans="2:5" x14ac:dyDescent="0.4">
      <c r="B326" s="25"/>
      <c r="C326" s="116" t="s">
        <v>320</v>
      </c>
      <c r="D326" s="113" t="s">
        <v>8</v>
      </c>
      <c r="E326" s="171">
        <v>62</v>
      </c>
    </row>
    <row r="327" spans="2:5" ht="25.5" x14ac:dyDescent="0.35">
      <c r="B327" s="18" t="s">
        <v>321</v>
      </c>
      <c r="C327" s="119" t="s">
        <v>322</v>
      </c>
      <c r="D327" s="66" t="s">
        <v>22</v>
      </c>
      <c r="E327" s="136">
        <v>31</v>
      </c>
    </row>
    <row r="328" spans="2:5" ht="25.5" x14ac:dyDescent="0.35">
      <c r="B328" s="212" t="s">
        <v>26</v>
      </c>
      <c r="C328" s="111" t="s">
        <v>323</v>
      </c>
      <c r="D328" s="65" t="s">
        <v>8</v>
      </c>
      <c r="E328" s="168">
        <v>61</v>
      </c>
    </row>
    <row r="329" spans="2:5" ht="25.5" x14ac:dyDescent="0.35">
      <c r="B329" s="125">
        <f>SUM(E325+E326+E327+E328+E329+E330)</f>
        <v>539</v>
      </c>
      <c r="C329" s="115" t="s">
        <v>324</v>
      </c>
      <c r="D329" s="66" t="s">
        <v>22</v>
      </c>
      <c r="E329" s="136">
        <v>10</v>
      </c>
    </row>
    <row r="330" spans="2:5" thickBot="1" x14ac:dyDescent="0.4">
      <c r="B330" s="28"/>
      <c r="C330" s="114" t="s">
        <v>321</v>
      </c>
      <c r="D330" s="73" t="s">
        <v>8</v>
      </c>
      <c r="E330" s="137">
        <v>287</v>
      </c>
    </row>
    <row r="331" spans="2:5" ht="25.5" x14ac:dyDescent="0.35">
      <c r="B331" s="41"/>
      <c r="C331" s="129" t="s">
        <v>325</v>
      </c>
      <c r="D331" s="37" t="s">
        <v>22</v>
      </c>
      <c r="E331" s="172">
        <v>16</v>
      </c>
    </row>
    <row r="332" spans="2:5" x14ac:dyDescent="0.4">
      <c r="B332" s="25"/>
      <c r="C332" s="112" t="s">
        <v>326</v>
      </c>
      <c r="D332" s="113" t="s">
        <v>8</v>
      </c>
      <c r="E332" s="171">
        <v>83</v>
      </c>
    </row>
    <row r="333" spans="2:5" ht="25.5" x14ac:dyDescent="0.35">
      <c r="B333" s="18" t="s">
        <v>327</v>
      </c>
      <c r="C333" s="115" t="s">
        <v>328</v>
      </c>
      <c r="D333" s="66" t="s">
        <v>22</v>
      </c>
      <c r="E333" s="136">
        <v>47</v>
      </c>
    </row>
    <row r="334" spans="2:5" ht="25.5" x14ac:dyDescent="0.35">
      <c r="B334" s="54" t="s">
        <v>329</v>
      </c>
      <c r="C334" s="111" t="s">
        <v>330</v>
      </c>
      <c r="D334" s="65" t="s">
        <v>8</v>
      </c>
      <c r="E334" s="168">
        <v>40</v>
      </c>
    </row>
    <row r="335" spans="2:5" ht="25.5" x14ac:dyDescent="0.35">
      <c r="B335" s="21">
        <f>SUM(E331:E339)</f>
        <v>672</v>
      </c>
      <c r="C335" s="112" t="s">
        <v>331</v>
      </c>
      <c r="D335" s="113" t="s">
        <v>8</v>
      </c>
      <c r="E335" s="171">
        <v>38</v>
      </c>
    </row>
    <row r="336" spans="2:5" x14ac:dyDescent="0.4">
      <c r="B336" s="25"/>
      <c r="C336" s="112" t="s">
        <v>332</v>
      </c>
      <c r="D336" s="113" t="s">
        <v>8</v>
      </c>
      <c r="E336" s="171">
        <v>76</v>
      </c>
    </row>
    <row r="337" spans="2:5" ht="25.5" x14ac:dyDescent="0.35">
      <c r="B337" s="21"/>
      <c r="C337" s="115" t="s">
        <v>333</v>
      </c>
      <c r="D337" s="66" t="s">
        <v>22</v>
      </c>
      <c r="E337" s="136">
        <v>56</v>
      </c>
    </row>
    <row r="338" spans="2:5" ht="25.5" x14ac:dyDescent="0.35">
      <c r="B338" s="21"/>
      <c r="C338" s="111" t="s">
        <v>334</v>
      </c>
      <c r="D338" s="65" t="s">
        <v>8</v>
      </c>
      <c r="E338" s="168">
        <v>38</v>
      </c>
    </row>
    <row r="339" spans="2:5" thickBot="1" x14ac:dyDescent="0.4">
      <c r="B339" s="28"/>
      <c r="C339" s="93" t="s">
        <v>327</v>
      </c>
      <c r="D339" s="73" t="s">
        <v>8</v>
      </c>
      <c r="E339" s="137">
        <v>278</v>
      </c>
    </row>
    <row r="340" spans="2:5" x14ac:dyDescent="0.4">
      <c r="E340" s="173"/>
    </row>
    <row r="341" spans="2:5" x14ac:dyDescent="0.4">
      <c r="B341" s="76" t="s">
        <v>335</v>
      </c>
      <c r="C341" s="77" t="s">
        <v>63</v>
      </c>
      <c r="D341" s="78">
        <v>18</v>
      </c>
      <c r="E341" s="173"/>
    </row>
    <row r="342" spans="2:5" x14ac:dyDescent="0.4">
      <c r="B342" s="76"/>
      <c r="C342" s="77" t="s">
        <v>64</v>
      </c>
      <c r="D342" s="78">
        <v>13</v>
      </c>
      <c r="E342" s="173"/>
    </row>
    <row r="343" spans="2:5" x14ac:dyDescent="0.4">
      <c r="B343" s="4"/>
      <c r="C343" s="77" t="s">
        <v>127</v>
      </c>
      <c r="D343" s="80">
        <f>SUM(E308:E339)</f>
        <v>2343</v>
      </c>
      <c r="E343" s="173"/>
    </row>
    <row r="344" spans="2:5" x14ac:dyDescent="0.4">
      <c r="E344" s="173"/>
    </row>
    <row r="345" spans="2:5" ht="25.5" x14ac:dyDescent="0.25">
      <c r="B345" s="218" t="s">
        <v>336</v>
      </c>
      <c r="C345" s="218"/>
      <c r="D345" s="218"/>
      <c r="E345" s="219"/>
    </row>
    <row r="346" spans="2:5" thickBot="1" x14ac:dyDescent="0.4">
      <c r="B346" s="10"/>
      <c r="C346" s="82" t="s">
        <v>4</v>
      </c>
      <c r="D346" s="12" t="s">
        <v>5</v>
      </c>
      <c r="E346" s="174" t="s">
        <v>6</v>
      </c>
    </row>
    <row r="347" spans="2:5" ht="25.5" x14ac:dyDescent="0.35">
      <c r="B347" s="41"/>
      <c r="C347" s="175" t="s">
        <v>337</v>
      </c>
      <c r="D347" s="176" t="s">
        <v>8</v>
      </c>
      <c r="E347" s="167">
        <v>111</v>
      </c>
    </row>
    <row r="348" spans="2:5" ht="25.5" x14ac:dyDescent="0.35">
      <c r="B348" s="51"/>
      <c r="C348" s="177" t="s">
        <v>338</v>
      </c>
      <c r="D348" s="178" t="s">
        <v>22</v>
      </c>
      <c r="E348" s="136">
        <v>37</v>
      </c>
    </row>
    <row r="349" spans="2:5" ht="25.5" x14ac:dyDescent="0.35">
      <c r="B349" s="51"/>
      <c r="C349" s="177" t="s">
        <v>339</v>
      </c>
      <c r="D349" s="178" t="s">
        <v>22</v>
      </c>
      <c r="E349" s="136">
        <v>21</v>
      </c>
    </row>
    <row r="350" spans="2:5" ht="25.5" x14ac:dyDescent="0.35">
      <c r="B350" s="51" t="s">
        <v>337</v>
      </c>
      <c r="C350" s="175" t="s">
        <v>340</v>
      </c>
      <c r="D350" s="176" t="s">
        <v>8</v>
      </c>
      <c r="E350" s="168">
        <v>41</v>
      </c>
    </row>
    <row r="351" spans="2:5" ht="25.5" x14ac:dyDescent="0.35">
      <c r="B351" s="125" t="s">
        <v>386</v>
      </c>
      <c r="C351" s="177" t="s">
        <v>342</v>
      </c>
      <c r="D351" s="178" t="s">
        <v>22</v>
      </c>
      <c r="E351" s="136">
        <v>19</v>
      </c>
    </row>
    <row r="352" spans="2:5" ht="25.5" x14ac:dyDescent="0.35">
      <c r="B352" s="21">
        <f>SUM(E347:E354)</f>
        <v>631</v>
      </c>
      <c r="C352" s="175" t="s">
        <v>343</v>
      </c>
      <c r="D352" s="176" t="s">
        <v>8</v>
      </c>
      <c r="E352" s="168">
        <v>223</v>
      </c>
    </row>
    <row r="353" spans="2:5" x14ac:dyDescent="0.4">
      <c r="B353" s="25"/>
      <c r="C353" s="135" t="s">
        <v>344</v>
      </c>
      <c r="D353" s="136" t="s">
        <v>22</v>
      </c>
      <c r="E353" s="136">
        <v>42</v>
      </c>
    </row>
    <row r="354" spans="2:5" thickBot="1" x14ac:dyDescent="0.4">
      <c r="B354" s="28"/>
      <c r="C354" s="179" t="s">
        <v>345</v>
      </c>
      <c r="D354" s="180" t="s">
        <v>8</v>
      </c>
      <c r="E354" s="180">
        <v>137</v>
      </c>
    </row>
    <row r="355" spans="2:5" x14ac:dyDescent="0.4">
      <c r="B355" s="14"/>
      <c r="C355" s="119" t="s">
        <v>346</v>
      </c>
      <c r="D355" s="66" t="s">
        <v>22</v>
      </c>
      <c r="E355" s="136">
        <v>29</v>
      </c>
    </row>
    <row r="356" spans="2:5" x14ac:dyDescent="0.4">
      <c r="B356" s="25"/>
      <c r="C356" s="119" t="s">
        <v>347</v>
      </c>
      <c r="D356" s="66" t="s">
        <v>22</v>
      </c>
      <c r="E356" s="136">
        <v>42</v>
      </c>
    </row>
    <row r="357" spans="2:5" ht="25.5" x14ac:dyDescent="0.35">
      <c r="B357" s="51" t="s">
        <v>348</v>
      </c>
      <c r="C357" s="123" t="s">
        <v>349</v>
      </c>
      <c r="D357" s="65" t="s">
        <v>8</v>
      </c>
      <c r="E357" s="168">
        <v>39</v>
      </c>
    </row>
    <row r="358" spans="2:5" ht="25.5" x14ac:dyDescent="0.35">
      <c r="B358" s="197" t="s">
        <v>350</v>
      </c>
      <c r="C358" s="111" t="s">
        <v>348</v>
      </c>
      <c r="D358" s="65" t="s">
        <v>8</v>
      </c>
      <c r="E358" s="168">
        <v>131</v>
      </c>
    </row>
    <row r="359" spans="2:5" ht="25.5" x14ac:dyDescent="0.35">
      <c r="B359" s="21">
        <f>SUM(+E355+E356+K354, E357+E358+E359+E360+E361+E362+E363)</f>
        <v>525</v>
      </c>
      <c r="C359" s="115" t="s">
        <v>351</v>
      </c>
      <c r="D359" s="66" t="s">
        <v>22</v>
      </c>
      <c r="E359" s="136">
        <v>50</v>
      </c>
    </row>
    <row r="360" spans="2:5" x14ac:dyDescent="0.4">
      <c r="B360" s="25"/>
      <c r="C360" s="111" t="s">
        <v>352</v>
      </c>
      <c r="D360" s="65" t="s">
        <v>8</v>
      </c>
      <c r="E360" s="168">
        <v>163</v>
      </c>
    </row>
    <row r="361" spans="2:5" ht="25.5" x14ac:dyDescent="0.35">
      <c r="B361" s="21"/>
      <c r="C361" s="112" t="s">
        <v>353</v>
      </c>
      <c r="D361" s="113" t="s">
        <v>8</v>
      </c>
      <c r="E361" s="171">
        <v>55</v>
      </c>
    </row>
    <row r="362" spans="2:5" thickBot="1" x14ac:dyDescent="0.4">
      <c r="B362" s="28"/>
      <c r="C362" s="117" t="s">
        <v>354</v>
      </c>
      <c r="D362" s="96" t="s">
        <v>22</v>
      </c>
      <c r="E362" s="181">
        <v>16</v>
      </c>
    </row>
    <row r="364" spans="2:5" x14ac:dyDescent="0.4">
      <c r="B364" s="76" t="s">
        <v>355</v>
      </c>
      <c r="C364" s="77" t="s">
        <v>63</v>
      </c>
      <c r="D364" s="78">
        <v>8</v>
      </c>
    </row>
    <row r="365" spans="2:5" x14ac:dyDescent="0.4">
      <c r="B365" s="76"/>
      <c r="C365" s="77" t="s">
        <v>64</v>
      </c>
      <c r="D365" s="78">
        <v>8</v>
      </c>
    </row>
    <row r="366" spans="2:5" x14ac:dyDescent="0.4">
      <c r="B366" s="4"/>
      <c r="C366" s="77" t="s">
        <v>127</v>
      </c>
      <c r="D366" s="78">
        <f>SUM(E347:E362)</f>
        <v>1156</v>
      </c>
    </row>
    <row r="367" spans="2:5" x14ac:dyDescent="0.4">
      <c r="B367" s="4"/>
      <c r="C367" s="77"/>
      <c r="D367" s="182"/>
    </row>
    <row r="368" spans="2:5" x14ac:dyDescent="0.4">
      <c r="B368" s="4"/>
      <c r="C368" s="183" t="s">
        <v>356</v>
      </c>
      <c r="D368" s="182"/>
    </row>
    <row r="369" spans="2:6" ht="25.5" x14ac:dyDescent="0.35">
      <c r="B369" s="4"/>
      <c r="C369" s="184" t="s">
        <v>4</v>
      </c>
      <c r="D369" s="8" t="s">
        <v>5</v>
      </c>
      <c r="E369" s="201" t="s">
        <v>6</v>
      </c>
    </row>
    <row r="370" spans="2:6" ht="25.5" x14ac:dyDescent="0.35">
      <c r="B370" s="208" t="s">
        <v>357</v>
      </c>
      <c r="C370" s="203" t="s">
        <v>358</v>
      </c>
      <c r="D370" s="204" t="s">
        <v>8</v>
      </c>
      <c r="E370" s="204">
        <v>373</v>
      </c>
    </row>
    <row r="371" spans="2:6" ht="25.5" x14ac:dyDescent="0.35">
      <c r="B371" s="209">
        <f>SUM(E370+E371)</f>
        <v>667</v>
      </c>
      <c r="C371" s="203" t="s">
        <v>359</v>
      </c>
      <c r="D371" s="204" t="s">
        <v>22</v>
      </c>
      <c r="E371" s="204">
        <v>294</v>
      </c>
      <c r="F371" s="2"/>
    </row>
    <row r="372" spans="2:6" ht="25.5" x14ac:dyDescent="0.35">
      <c r="B372" s="152"/>
      <c r="C372" s="205"/>
      <c r="D372" s="152"/>
      <c r="E372" s="152"/>
      <c r="F372" s="2"/>
    </row>
    <row r="373" spans="2:6" x14ac:dyDescent="0.4">
      <c r="B373" s="76" t="s">
        <v>360</v>
      </c>
      <c r="C373" s="77" t="s">
        <v>63</v>
      </c>
      <c r="D373" s="78">
        <v>1</v>
      </c>
      <c r="E373" s="152"/>
      <c r="F373" s="2"/>
    </row>
    <row r="374" spans="2:6" x14ac:dyDescent="0.4">
      <c r="B374" s="76"/>
      <c r="C374" s="77" t="s">
        <v>64</v>
      </c>
      <c r="D374" s="78">
        <v>1</v>
      </c>
      <c r="E374" s="152"/>
      <c r="F374" s="2"/>
    </row>
    <row r="375" spans="2:6" x14ac:dyDescent="0.4">
      <c r="B375" s="4"/>
      <c r="C375" s="77" t="s">
        <v>127</v>
      </c>
      <c r="D375" s="78">
        <f>SUM(E370+E371)</f>
        <v>667</v>
      </c>
      <c r="E375" s="152"/>
      <c r="F375" s="2"/>
    </row>
    <row r="376" spans="2:6" ht="27" thickBot="1" x14ac:dyDescent="0.45">
      <c r="B376" s="185"/>
      <c r="C376" s="186"/>
      <c r="D376" s="186"/>
      <c r="E376" s="186"/>
      <c r="F376" s="3"/>
    </row>
    <row r="377" spans="2:6" ht="15.75" thickBot="1" x14ac:dyDescent="0.3">
      <c r="B377" s="213" t="s">
        <v>361</v>
      </c>
      <c r="C377" s="215" t="s">
        <v>362</v>
      </c>
      <c r="D377" s="215" t="s">
        <v>64</v>
      </c>
      <c r="E377" s="215" t="s">
        <v>63</v>
      </c>
      <c r="F377" s="217" t="s">
        <v>127</v>
      </c>
    </row>
    <row r="378" spans="2:6" ht="15.75" thickBot="1" x14ac:dyDescent="0.3">
      <c r="B378" s="214"/>
      <c r="C378" s="216"/>
      <c r="D378" s="216"/>
      <c r="E378" s="216"/>
      <c r="F378" s="217"/>
    </row>
    <row r="379" spans="2:6" thickBot="1" x14ac:dyDescent="0.4">
      <c r="B379" s="187" t="s">
        <v>363</v>
      </c>
      <c r="C379" s="188">
        <v>8</v>
      </c>
      <c r="D379" s="188">
        <v>8</v>
      </c>
      <c r="E379" s="189">
        <v>35</v>
      </c>
      <c r="F379" s="206">
        <v>4829</v>
      </c>
    </row>
    <row r="380" spans="2:6" thickBot="1" x14ac:dyDescent="0.4">
      <c r="B380" s="190" t="s">
        <v>364</v>
      </c>
      <c r="C380" s="188">
        <v>7</v>
      </c>
      <c r="D380" s="191">
        <v>21</v>
      </c>
      <c r="E380" s="192">
        <v>36</v>
      </c>
      <c r="F380" s="206">
        <v>4850</v>
      </c>
    </row>
    <row r="381" spans="2:6" ht="51.75" thickBot="1" x14ac:dyDescent="0.4">
      <c r="B381" s="190" t="s">
        <v>365</v>
      </c>
      <c r="C381" s="188">
        <v>9</v>
      </c>
      <c r="D381" s="191">
        <v>18</v>
      </c>
      <c r="E381" s="192">
        <v>42</v>
      </c>
      <c r="F381" s="206">
        <v>5771</v>
      </c>
    </row>
    <row r="382" spans="2:6" thickBot="1" x14ac:dyDescent="0.4">
      <c r="B382" s="190" t="s">
        <v>366</v>
      </c>
      <c r="C382" s="188">
        <v>7</v>
      </c>
      <c r="D382" s="191">
        <v>8</v>
      </c>
      <c r="E382" s="192">
        <v>37</v>
      </c>
      <c r="F382" s="206">
        <v>4130</v>
      </c>
    </row>
    <row r="383" spans="2:6" thickBot="1" x14ac:dyDescent="0.4">
      <c r="B383" s="190" t="s">
        <v>367</v>
      </c>
      <c r="C383" s="188">
        <v>5</v>
      </c>
      <c r="D383" s="191">
        <v>4</v>
      </c>
      <c r="E383" s="192">
        <v>14</v>
      </c>
      <c r="F383" s="206">
        <v>3334</v>
      </c>
    </row>
    <row r="384" spans="2:6" thickBot="1" x14ac:dyDescent="0.4">
      <c r="B384" s="190" t="s">
        <v>368</v>
      </c>
      <c r="C384" s="188">
        <v>6</v>
      </c>
      <c r="D384" s="191">
        <v>4</v>
      </c>
      <c r="E384" s="192">
        <v>24</v>
      </c>
      <c r="F384" s="206">
        <v>3383</v>
      </c>
    </row>
    <row r="385" spans="2:6" thickBot="1" x14ac:dyDescent="0.4">
      <c r="B385" s="190" t="s">
        <v>369</v>
      </c>
      <c r="C385" s="188">
        <v>5</v>
      </c>
      <c r="D385" s="191">
        <v>12</v>
      </c>
      <c r="E385" s="192">
        <v>18</v>
      </c>
      <c r="F385" s="206">
        <v>2343</v>
      </c>
    </row>
    <row r="386" spans="2:6" thickBot="1" x14ac:dyDescent="0.4">
      <c r="B386" s="190" t="s">
        <v>370</v>
      </c>
      <c r="C386" s="188">
        <v>2</v>
      </c>
      <c r="D386" s="191">
        <v>8</v>
      </c>
      <c r="E386" s="192">
        <v>8</v>
      </c>
      <c r="F386" s="206">
        <v>1156</v>
      </c>
    </row>
    <row r="387" spans="2:6" thickBot="1" x14ac:dyDescent="0.4">
      <c r="B387" s="190" t="s">
        <v>371</v>
      </c>
      <c r="C387" s="188" t="s">
        <v>372</v>
      </c>
      <c r="D387" s="188">
        <v>1</v>
      </c>
      <c r="E387" s="193">
        <v>1</v>
      </c>
      <c r="F387" s="207">
        <v>667</v>
      </c>
    </row>
    <row r="388" spans="2:6" thickBot="1" x14ac:dyDescent="0.4">
      <c r="B388" s="190" t="s">
        <v>373</v>
      </c>
      <c r="C388" s="188">
        <f>SUM(C379:C387)</f>
        <v>49</v>
      </c>
      <c r="D388" s="194">
        <f>SUM(D379:D387)</f>
        <v>84</v>
      </c>
      <c r="E388" s="195">
        <f>SUM(E379:E387)</f>
        <v>215</v>
      </c>
      <c r="F388" s="206">
        <f>SUM(F379:F387)</f>
        <v>30463</v>
      </c>
    </row>
  </sheetData>
  <sheetProtection algorithmName="SHA-512" hashValue="U5NLEhCfeoYpYDPLgJ3z7tKuMZAd7lG0ia7wPgPJhLse+vwaeIacy3WClOP79Uwx6LH+wqCZUW/R9Ixj0nkn5g==" saltValue="OyC7vbmnlPeFWDUcMKVonQ==" spinCount="100000" sheet="1" objects="1" scenarios="1"/>
  <mergeCells count="17">
    <mergeCell ref="B345:E345"/>
    <mergeCell ref="B2:E2"/>
    <mergeCell ref="B4:E4"/>
    <mergeCell ref="B5:E5"/>
    <mergeCell ref="B6:E6"/>
    <mergeCell ref="B7:E7"/>
    <mergeCell ref="B59:E59"/>
    <mergeCell ref="B123:E123"/>
    <mergeCell ref="B190:E190"/>
    <mergeCell ref="B242:E242"/>
    <mergeCell ref="B271:E271"/>
    <mergeCell ref="B306:E306"/>
    <mergeCell ref="B377:B378"/>
    <mergeCell ref="C377:C378"/>
    <mergeCell ref="D377:D378"/>
    <mergeCell ref="E377:E378"/>
    <mergeCell ref="F377:F378"/>
  </mergeCells>
  <pageMargins left="0.23622047244094491" right="0.23622047244094491" top="0.74803149606299213" bottom="0.74803149606299213" header="0.31496062992125984" footer="0.31496062992125984"/>
  <pageSetup paperSize="9" scale="5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37E3EC2C11794BABC4B5D851DC9A70" ma:contentTypeVersion="14" ma:contentTypeDescription="Crie um novo documento." ma:contentTypeScope="" ma:versionID="8115fe552bcb4b2074311f71faecc033">
  <xsd:schema xmlns:xsd="http://www.w3.org/2001/XMLSchema" xmlns:xs="http://www.w3.org/2001/XMLSchema" xmlns:p="http://schemas.microsoft.com/office/2006/metadata/properties" xmlns:ns2="876044b4-bf12-4c87-bccb-bd408be9ac37" xmlns:ns3="c7f82061-7dab-453f-b12b-5c738bdb810d" targetNamespace="http://schemas.microsoft.com/office/2006/metadata/properties" ma:root="true" ma:fieldsID="353a990eadce768129a97088ca109801" ns2:_="" ns3:_="">
    <xsd:import namespace="876044b4-bf12-4c87-bccb-bd408be9ac37"/>
    <xsd:import namespace="c7f82061-7dab-453f-b12b-5c738bdb8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44b4-bf12-4c87-bccb-bd408be9a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82061-7dab-453f-b12b-5c738bdb810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7c39e22-bbea-406f-8b4e-f22b8e23236a}" ma:internalName="TaxCatchAll" ma:showField="CatchAllData" ma:web="c7f82061-7dab-453f-b12b-5c738bdb81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6044b4-bf12-4c87-bccb-bd408be9ac37">
      <Terms xmlns="http://schemas.microsoft.com/office/infopath/2007/PartnerControls"/>
    </lcf76f155ced4ddcb4097134ff3c332f>
    <TaxCatchAll xmlns="c7f82061-7dab-453f-b12b-5c738bdb810d" xsi:nil="true"/>
  </documentManagement>
</p:properties>
</file>

<file path=customXml/itemProps1.xml><?xml version="1.0" encoding="utf-8"?>
<ds:datastoreItem xmlns:ds="http://schemas.openxmlformats.org/officeDocument/2006/customXml" ds:itemID="{FCCFC37B-7196-4E5C-9E17-5759AB5EF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044b4-bf12-4c87-bccb-bd408be9ac37"/>
    <ds:schemaRef ds:uri="c7f82061-7dab-453f-b12b-5c738bdb81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522DA-68AF-4DD8-B155-2B42AE9A1B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7FD0F-074B-4BE9-B3D1-F98A4EAA7B18}">
  <ds:schemaRefs>
    <ds:schemaRef ds:uri="http://schemas.microsoft.com/office/2006/metadata/properties"/>
    <ds:schemaRef ds:uri="http://schemas.microsoft.com/office/infopath/2007/PartnerControls"/>
    <ds:schemaRef ds:uri="876044b4-bf12-4c87-bccb-bd408be9ac37"/>
    <ds:schemaRef ds:uri="c7f82061-7dab-453f-b12b-5c738bdb81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USEB - ARS - Marcelo Silva</dc:creator>
  <cp:keywords/>
  <dc:description/>
  <cp:lastModifiedBy>USEB - ARS - Marcelo Silva</cp:lastModifiedBy>
  <cp:revision/>
  <cp:lastPrinted>2026-01-14T13:09:16Z</cp:lastPrinted>
  <dcterms:created xsi:type="dcterms:W3CDTF">2023-11-10T12:20:41Z</dcterms:created>
  <dcterms:modified xsi:type="dcterms:W3CDTF">2026-01-14T13:21:04Z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0x0101005D37E3EC2C11794BABC4B5D851DC9A70</vt:lpwstr>
  </property>
  <property fmtid="{D5CDD505-2E9C-101B-9397-08002B2CF9AE}" pid="3" name="MediaServiceImageTags">
    <vt:lpwstr/>
  </property>
</Properties>
</file>